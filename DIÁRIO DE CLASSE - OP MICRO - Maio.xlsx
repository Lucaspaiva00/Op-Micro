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nte" sheetId="1" r:id="rId4"/>
    <sheet state="visible" name="FevMarçoAbril" sheetId="2" r:id="rId5"/>
    <sheet state="visible" name="AbrilMaio" sheetId="3" r:id="rId6"/>
  </sheets>
  <definedNames/>
  <calcPr/>
</workbook>
</file>

<file path=xl/sharedStrings.xml><?xml version="1.0" encoding="utf-8"?>
<sst xmlns="http://schemas.openxmlformats.org/spreadsheetml/2006/main" count="1427" uniqueCount="93">
  <si>
    <t>DATA</t>
  </si>
  <si>
    <t>HORAS</t>
  </si>
  <si>
    <t>CAPACIDADE TÉCNICA</t>
  </si>
  <si>
    <t xml:space="preserve">ESCOLA SENAI " Jaguariúna "        Rua Anesia Venturini Zani, 62  </t>
  </si>
  <si>
    <t>Apresentação fic + apresentação da escola</t>
  </si>
  <si>
    <t xml:space="preserve">(19) 3837-6300 </t>
  </si>
  <si>
    <t>Fundamento de hardware</t>
  </si>
  <si>
    <t>DIÁRIO DE CLASSE</t>
  </si>
  <si>
    <t>Conversões decimais, binárias, hexadecimais</t>
  </si>
  <si>
    <t>FORMAÇÃO INICIAL E CONTINUADA</t>
  </si>
  <si>
    <t>N° Proposta / Ano</t>
  </si>
  <si>
    <t>Local de Realização</t>
  </si>
  <si>
    <t>Tipo de Atendimento</t>
  </si>
  <si>
    <t>Turma</t>
  </si>
  <si>
    <t>Emissão</t>
  </si>
  <si>
    <t>Redes de computadores</t>
  </si>
  <si>
    <t>ESCOLA</t>
  </si>
  <si>
    <t>OpMicGR1-1/25</t>
  </si>
  <si>
    <t>03/22/2025</t>
  </si>
  <si>
    <t>Trabalhando com orçamentos e relatórios de serviço</t>
  </si>
  <si>
    <t xml:space="preserve">Curso: </t>
  </si>
  <si>
    <t>03/29/2025</t>
  </si>
  <si>
    <t>Verificação Prática Somativa</t>
  </si>
  <si>
    <t>Operador de Microcomputador</t>
  </si>
  <si>
    <t>Docente:</t>
  </si>
  <si>
    <t>Lucas Paiva</t>
  </si>
  <si>
    <t>Início Previsto do Curso</t>
  </si>
  <si>
    <t>Dias da Semana e Horário</t>
  </si>
  <si>
    <t>Sábado - 08:15 Até 12:15</t>
  </si>
  <si>
    <t>Término Previsto</t>
  </si>
  <si>
    <t>Horas (Previsto)</t>
  </si>
  <si>
    <t>Responsável na Escola</t>
  </si>
  <si>
    <t>Cliente</t>
  </si>
  <si>
    <t>Informação para Pagamento do Docente</t>
  </si>
  <si>
    <t>Período</t>
  </si>
  <si>
    <t>Total de Horas</t>
  </si>
  <si>
    <t>Valor Hora</t>
  </si>
  <si>
    <t>Representante da Escola</t>
  </si>
  <si>
    <t>___/___/___</t>
  </si>
  <si>
    <t>à</t>
  </si>
  <si>
    <t>Início Efetivo</t>
  </si>
  <si>
    <t>Término Efetivo</t>
  </si>
  <si>
    <t>Horas (Realizado)</t>
  </si>
  <si>
    <t>Nº de ordem</t>
  </si>
  <si>
    <t>Nome do Treinado</t>
  </si>
  <si>
    <t>Mês</t>
  </si>
  <si>
    <t>Fevereiro</t>
  </si>
  <si>
    <t>Março</t>
  </si>
  <si>
    <t>Abril</t>
  </si>
  <si>
    <t>Faltas
(Horas)</t>
  </si>
  <si>
    <t>Nota</t>
  </si>
  <si>
    <t>Nº de Ordem</t>
  </si>
  <si>
    <t>Resultado Final</t>
  </si>
  <si>
    <t>% de Faltas do aluno</t>
  </si>
  <si>
    <t>Condição de Presença</t>
  </si>
  <si>
    <t>% DE AUSÊNCIA DA TURMA</t>
  </si>
  <si>
    <t>CARGA HORARIA TOTAL DO CURSO</t>
  </si>
  <si>
    <t>Dias</t>
  </si>
  <si>
    <t>ANA VITORIA OLIVEIRA GOMES</t>
  </si>
  <si>
    <t>.</t>
  </si>
  <si>
    <t>|</t>
  </si>
  <si>
    <t>CAIO FRITZ DE OLIVEIRA GOMES</t>
  </si>
  <si>
    <t>CLAUDIA TAIS BENDER SANTOS</t>
  </si>
  <si>
    <t>CLAUDIANA DA MATA SANTOS</t>
  </si>
  <si>
    <t>DANIELA RODRIGUES DOS SANOS FARIA</t>
  </si>
  <si>
    <t>ELENA FRITZ DE OLIVEIRA GOMES</t>
  </si>
  <si>
    <t>EMILI LORRANE RODRIGUES FARIAS</t>
  </si>
  <si>
    <t>ERICK KAUÃ COUTINHO DOS SANTOS</t>
  </si>
  <si>
    <t>GUILHERME SOARES GONÇALVEZ</t>
  </si>
  <si>
    <t>JHONATAS MIGUEL NASCIBEN BIACHI</t>
  </si>
  <si>
    <t>JOÃO ARTHUR PEREIRA TREVISAN</t>
  </si>
  <si>
    <t>JOÃO PAULO SANTOS CONCEIÇÃO</t>
  </si>
  <si>
    <t>KAUANY VITORIA SOUSA DA SILVA</t>
  </si>
  <si>
    <t>MARIA CLARA VITORIA OLIVEIRA DE JESUS</t>
  </si>
  <si>
    <t xml:space="preserve">MARIA ISABELLA DE JESUS SOUSA </t>
  </si>
  <si>
    <t>MARIANNA NUNES GONCALVES</t>
  </si>
  <si>
    <t xml:space="preserve">MIGUEL MARINHO CABRAL RAMOS </t>
  </si>
  <si>
    <t>NICOLAS ORTEGA DE QUEIROZ</t>
  </si>
  <si>
    <t>NICOLAS RAFAEL DOS SANTOS</t>
  </si>
  <si>
    <t>REGINALDO DOS SANTOS ALMEIDA</t>
  </si>
  <si>
    <t>SANDRA MILAN</t>
  </si>
  <si>
    <t>THAÍS DAMASCENO SANTOS</t>
  </si>
  <si>
    <t>VANNESSA RODRIGUES DIAS RAMOS</t>
  </si>
  <si>
    <t>MARTA LUIZA MANDONADO</t>
  </si>
  <si>
    <r>
      <rPr>
        <rFont val="Arial"/>
        <b/>
        <color theme="1"/>
        <sz val="8.0"/>
      </rPr>
      <t>Representante do Cliente</t>
    </r>
    <r>
      <rPr>
        <rFont val="Arial"/>
        <b val="0"/>
        <color theme="1"/>
        <sz val="8.0"/>
      </rPr>
      <t xml:space="preserve">
O curso foi realizado conforme apontado neste relatório.</t>
    </r>
  </si>
  <si>
    <t>Nome: __________________________________</t>
  </si>
  <si>
    <t>RG.:   __________________________________</t>
  </si>
  <si>
    <t>Assinatura do Responsável
da Empresa</t>
  </si>
  <si>
    <t>Assinatura do
Docente</t>
  </si>
  <si>
    <t>Assinatura do Responsável
da Escola</t>
  </si>
  <si>
    <t>* Aluno Evadido ** Aluno Dispensado *** Trancamento ****Aluno Transferido</t>
  </si>
  <si>
    <t>Resultado Final:               C = Certificado             N = Não Certificado              E = Evadido             T = Transferido</t>
  </si>
  <si>
    <r>
      <rPr>
        <rFont val="Arial"/>
        <b/>
        <color theme="1"/>
        <sz val="8.0"/>
      </rPr>
      <t>Representante do Cliente</t>
    </r>
    <r>
      <rPr>
        <rFont val="Arial"/>
        <b val="0"/>
        <color theme="1"/>
        <sz val="8.0"/>
      </rPr>
      <t xml:space="preserve">
O curso foi realizado conforme apontado neste relatório.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</si>
</sst>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7">
    <font>
      <sz val="10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/>
    <font>
      <sz val="11.0"/>
      <color theme="1"/>
      <name val="Arial"/>
    </font>
    <font>
      <sz val="9.0"/>
      <color theme="1"/>
      <name val="Arial"/>
    </font>
    <font>
      <b/>
      <sz val="8.0"/>
      <color theme="1"/>
      <name val="Tahoma"/>
    </font>
    <font>
      <i/>
      <sz val="14.0"/>
      <color theme="1"/>
      <name val="Comic Sans MS"/>
    </font>
    <font>
      <i/>
      <sz val="8.0"/>
      <color theme="1"/>
      <name val="Comic Sans MS"/>
    </font>
    <font>
      <i/>
      <sz val="9.0"/>
      <color theme="1"/>
      <name val="Arial"/>
    </font>
    <font>
      <sz val="5.0"/>
      <color theme="1"/>
      <name val="Arial"/>
    </font>
    <font>
      <sz val="6.0"/>
      <color theme="1"/>
      <name val="Arial"/>
    </font>
    <font>
      <sz val="7.0"/>
      <color theme="1"/>
      <name val="Arial"/>
    </font>
    <font>
      <i/>
      <sz val="10.0"/>
      <color theme="1"/>
      <name val="Arial"/>
    </font>
    <font>
      <b/>
      <sz val="10.0"/>
      <color theme="1"/>
      <name val="Arial"/>
    </font>
    <font>
      <b/>
      <sz val="6.0"/>
      <color theme="1"/>
      <name val="Arial"/>
    </font>
    <font>
      <b/>
      <sz val="7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7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</border>
    <border>
      <left/>
      <right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top style="thin">
        <color rgb="FF000000"/>
      </top>
      <bottom/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 style="thin">
        <color rgb="FF000000"/>
      </top>
    </border>
    <border>
      <left/>
      <top style="thin">
        <color rgb="FF000000"/>
      </top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top style="hair">
        <color rgb="FF000000"/>
      </top>
      <bottom/>
    </border>
    <border>
      <top style="hair">
        <color rgb="FF000000"/>
      </top>
      <bottom/>
    </border>
    <border>
      <right/>
      <top style="hair">
        <color rgb="FF000000"/>
      </top>
      <bottom/>
    </border>
    <border>
      <left/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  <border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center" shrinkToFit="0" vertical="center" wrapText="0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2" fillId="2" fontId="2" numFmtId="14" xfId="0" applyAlignment="1" applyBorder="1" applyFont="1" applyNumberForma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horizontal="left" shrinkToFit="0" vertical="center" wrapText="0"/>
    </xf>
    <xf borderId="4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5" fillId="2" fontId="2" numFmtId="0" xfId="0" applyAlignment="1" applyBorder="1" applyFont="1">
      <alignment horizontal="center" shrinkToFit="0" vertical="top" wrapText="1"/>
    </xf>
    <xf borderId="6" fillId="0" fontId="3" numFmtId="0" xfId="0" applyBorder="1" applyFont="1"/>
    <xf borderId="7" fillId="0" fontId="3" numFmtId="0" xfId="0" applyBorder="1" applyFont="1"/>
    <xf borderId="1" fillId="2" fontId="2" numFmtId="0" xfId="0" applyAlignment="1" applyBorder="1" applyFont="1">
      <alignment shrinkToFit="0" vertical="top" wrapText="1"/>
    </xf>
    <xf borderId="8" fillId="2" fontId="4" numFmtId="14" xfId="0" applyAlignment="1" applyBorder="1" applyFont="1" applyNumberFormat="1">
      <alignment horizontal="center" readingOrder="0" shrinkToFit="0" vertical="bottom" wrapText="0"/>
    </xf>
    <xf borderId="8" fillId="2" fontId="4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left" readingOrder="0" shrinkToFit="0" vertical="center" wrapText="0"/>
    </xf>
    <xf borderId="9" fillId="0" fontId="3" numFmtId="0" xfId="0" applyBorder="1" applyFont="1"/>
    <xf borderId="10" fillId="0" fontId="3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left" shrinkToFit="0" vertical="top" wrapText="1"/>
    </xf>
    <xf borderId="8" fillId="2" fontId="5" numFmtId="0" xfId="0" applyAlignment="1" applyBorder="1" applyFont="1">
      <alignment horizontal="left" readingOrder="0" shrinkToFit="0" vertical="center" wrapText="1"/>
    </xf>
    <xf borderId="5" fillId="2" fontId="6" numFmtId="0" xfId="0" applyAlignment="1" applyBorder="1" applyFont="1">
      <alignment horizontal="center" shrinkToFit="0" vertical="center" wrapText="0"/>
    </xf>
    <xf borderId="8" fillId="2" fontId="4" numFmtId="164" xfId="0" applyAlignment="1" applyBorder="1" applyFont="1" applyNumberFormat="1">
      <alignment horizontal="center"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3" numFmtId="0" xfId="0" applyBorder="1" applyFont="1"/>
    <xf borderId="13" fillId="0" fontId="3" numFmtId="0" xfId="0" applyBorder="1" applyFont="1"/>
    <xf borderId="11" fillId="2" fontId="1" numFmtId="0" xfId="0" applyAlignment="1" applyBorder="1" applyFont="1">
      <alignment horizontal="center" shrinkToFit="0" vertical="bottom" wrapText="0"/>
    </xf>
    <xf borderId="8" fillId="2" fontId="4" numFmtId="0" xfId="0" applyAlignment="1" applyBorder="1" applyFont="1">
      <alignment horizontal="center" readingOrder="0" shrinkToFit="0" vertical="bottom" wrapText="0"/>
    </xf>
    <xf borderId="14" fillId="2" fontId="1" numFmtId="0" xfId="0" applyAlignment="1" applyBorder="1" applyFont="1">
      <alignment horizontal="center" shrinkToFit="0" vertical="bottom" wrapText="0"/>
    </xf>
    <xf borderId="15" fillId="0" fontId="3" numFmtId="0" xfId="0" applyBorder="1" applyFont="1"/>
    <xf borderId="16" fillId="2" fontId="1" numFmtId="0" xfId="0" applyAlignment="1" applyBorder="1" applyFont="1">
      <alignment horizontal="center" shrinkToFit="0" vertical="center" wrapText="0"/>
    </xf>
    <xf borderId="17" fillId="0" fontId="3" numFmtId="0" xfId="0" applyBorder="1" applyFont="1"/>
    <xf borderId="18" fillId="0" fontId="3" numFmtId="0" xfId="0" applyBorder="1" applyFont="1"/>
    <xf borderId="16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readingOrder="0" shrinkToFit="0" vertical="center" wrapText="0"/>
    </xf>
    <xf borderId="16" fillId="2" fontId="1" numFmtId="14" xfId="0" applyAlignment="1" applyBorder="1" applyFont="1" applyNumberFormat="1">
      <alignment horizontal="center" readingOrder="0" shrinkToFit="0" vertical="center" wrapText="0"/>
    </xf>
    <xf borderId="8" fillId="2" fontId="4" numFmtId="165" xfId="0" applyAlignment="1" applyBorder="1" applyFont="1" applyNumberFormat="1">
      <alignment horizontal="center" readingOrder="0" shrinkToFit="0" vertical="bottom" wrapText="0"/>
    </xf>
    <xf borderId="19" fillId="2" fontId="1" numFmtId="17" xfId="0" applyAlignment="1" applyBorder="1" applyFont="1" applyNumberFormat="1">
      <alignment horizontal="center" shrinkToFit="0" vertical="center" wrapText="0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1" fillId="2" fontId="1" numFmtId="0" xfId="0" applyAlignment="1" applyBorder="1" applyFont="1">
      <alignment horizontal="left" shrinkToFit="0" vertical="bottom" wrapText="0"/>
    </xf>
    <xf borderId="19" fillId="2" fontId="1" numFmtId="0" xfId="0" applyAlignment="1" applyBorder="1" applyFont="1">
      <alignment horizontal="left" readingOrder="0" shrinkToFit="0" vertical="center" wrapText="0"/>
    </xf>
    <xf borderId="8" fillId="2" fontId="4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left" shrinkToFit="0" vertical="center" wrapText="0"/>
    </xf>
    <xf borderId="25" fillId="2" fontId="1" numFmtId="0" xfId="0" applyAlignment="1" applyBorder="1" applyFont="1">
      <alignment shrinkToFit="0" vertical="bottom" wrapText="0"/>
    </xf>
    <xf borderId="26" fillId="2" fontId="1" numFmtId="0" xfId="0" applyAlignment="1" applyBorder="1" applyFont="1">
      <alignment shrinkToFit="0" vertical="bottom" wrapText="0"/>
    </xf>
    <xf borderId="8" fillId="2" fontId="5" numFmtId="0" xfId="0" applyAlignment="1" applyBorder="1" applyFont="1">
      <alignment horizontal="left" shrinkToFit="0" vertical="center" wrapText="1"/>
    </xf>
    <xf borderId="16" fillId="2" fontId="1" numFmtId="165" xfId="0" applyAlignment="1" applyBorder="1" applyFont="1" applyNumberFormat="1">
      <alignment horizontal="center" readingOrder="0" shrinkToFit="0" vertical="center" wrapText="0"/>
    </xf>
    <xf borderId="14" fillId="2" fontId="2" numFmtId="0" xfId="0" applyAlignment="1" applyBorder="1" applyFont="1">
      <alignment horizontal="left" shrinkToFit="0" vertical="center" wrapText="0"/>
    </xf>
    <xf borderId="5" fillId="2" fontId="2" numFmtId="0" xfId="0" applyAlignment="1" applyBorder="1" applyFont="1">
      <alignment horizontal="left" shrinkToFit="0" vertical="center" wrapText="0"/>
    </xf>
    <xf borderId="27" fillId="2" fontId="1" numFmtId="0" xfId="0" applyAlignment="1" applyBorder="1" applyFont="1">
      <alignment horizontal="left" shrinkToFit="0" vertical="center" wrapText="0"/>
    </xf>
    <xf borderId="8" fillId="2" fontId="4" numFmtId="14" xfId="0" applyAlignment="1" applyBorder="1" applyFont="1" applyNumberFormat="1">
      <alignment horizontal="center" shrinkToFit="0" vertical="bottom" wrapText="0"/>
    </xf>
    <xf borderId="28" fillId="2" fontId="1" numFmtId="0" xfId="0" applyAlignment="1" applyBorder="1" applyFont="1">
      <alignment horizontal="left" shrinkToFit="0" vertical="bottom" wrapText="0"/>
    </xf>
    <xf borderId="19" fillId="2" fontId="1" numFmtId="0" xfId="0" applyAlignment="1" applyBorder="1" applyFont="1">
      <alignment horizontal="center" readingOrder="0" shrinkToFit="0" vertical="center" wrapText="0"/>
    </xf>
    <xf borderId="29" fillId="2" fontId="1" numFmtId="0" xfId="0" applyAlignment="1" applyBorder="1" applyFont="1">
      <alignment horizontal="center" shrinkToFit="0" vertical="bottom" wrapText="0"/>
    </xf>
    <xf borderId="19" fillId="2" fontId="2" numFmtId="14" xfId="0" applyAlignment="1" applyBorder="1" applyFont="1" applyNumberFormat="1">
      <alignment horizontal="center" shrinkToFit="0" vertical="center" wrapText="0"/>
    </xf>
    <xf borderId="30" fillId="2" fontId="1" numFmtId="0" xfId="0" applyAlignment="1" applyBorder="1" applyFont="1">
      <alignment horizontal="center" shrinkToFit="0" vertical="center" wrapText="0"/>
    </xf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0" fillId="2" fontId="2" numFmtId="0" xfId="0" applyAlignment="1" applyBorder="1" applyFont="1">
      <alignment horizontal="center" shrinkToFit="0" vertical="center" wrapText="0"/>
    </xf>
    <xf borderId="30" fillId="0" fontId="1" numFmtId="14" xfId="0" applyAlignment="1" applyBorder="1" applyFont="1" applyNumberFormat="1">
      <alignment horizontal="center" shrinkToFit="0" vertical="center" wrapText="0"/>
    </xf>
    <xf borderId="35" fillId="2" fontId="1" numFmtId="0" xfId="0" applyAlignment="1" applyBorder="1" applyFont="1">
      <alignment horizontal="center" shrinkToFit="0" vertical="center" wrapText="0"/>
    </xf>
    <xf borderId="36" fillId="2" fontId="1" numFmtId="0" xfId="0" applyAlignment="1" applyBorder="1" applyFont="1">
      <alignment horizontal="center" shrinkToFit="0" vertical="center" wrapText="0"/>
    </xf>
    <xf borderId="37" fillId="0" fontId="3" numFmtId="0" xfId="0" applyBorder="1" applyFont="1"/>
    <xf borderId="38" fillId="0" fontId="3" numFmtId="0" xfId="0" applyBorder="1" applyFont="1"/>
    <xf borderId="30" fillId="0" fontId="1" numFmtId="0" xfId="0" applyAlignment="1" applyBorder="1" applyFont="1">
      <alignment horizontal="center" shrinkToFit="0" vertical="center" wrapText="0"/>
    </xf>
    <xf borderId="39" fillId="0" fontId="3" numFmtId="0" xfId="0" applyBorder="1" applyFont="1"/>
    <xf borderId="40" fillId="0" fontId="3" numFmtId="0" xfId="0" applyBorder="1" applyFont="1"/>
    <xf borderId="11" fillId="2" fontId="1" numFmtId="0" xfId="0" applyAlignment="1" applyBorder="1" applyFont="1">
      <alignment horizontal="left" shrinkToFit="0" vertical="center" wrapText="0"/>
    </xf>
    <xf borderId="16" fillId="2" fontId="7" numFmtId="14" xfId="0" applyAlignment="1" applyBorder="1" applyFont="1" applyNumberFormat="1">
      <alignment horizontal="center" readingOrder="0" shrinkToFit="0" vertical="center" wrapText="0"/>
    </xf>
    <xf borderId="16" fillId="2" fontId="7" numFmtId="14" xfId="0" applyAlignment="1" applyBorder="1" applyFont="1" applyNumberFormat="1">
      <alignment horizontal="center" shrinkToFit="0" vertical="center" wrapText="0"/>
    </xf>
    <xf borderId="16" fillId="2" fontId="7" numFmtId="0" xfId="0" applyAlignment="1" applyBorder="1" applyFont="1">
      <alignment horizontal="center" shrinkToFit="0" vertical="center" wrapText="0"/>
    </xf>
    <xf borderId="41" fillId="2" fontId="8" numFmtId="14" xfId="0" applyAlignment="1" applyBorder="1" applyFont="1" applyNumberFormat="1">
      <alignment horizontal="center" shrinkToFit="0" vertical="center" wrapText="0"/>
    </xf>
    <xf borderId="41" fillId="2" fontId="8" numFmtId="0" xfId="0" applyAlignment="1" applyBorder="1" applyFont="1">
      <alignment horizontal="center" shrinkToFit="0" vertical="bottom" wrapText="0"/>
    </xf>
    <xf borderId="41" fillId="2" fontId="9" numFmtId="0" xfId="0" applyAlignment="1" applyBorder="1" applyFont="1">
      <alignment horizontal="left" shrinkToFit="0" vertical="center" wrapText="0"/>
    </xf>
    <xf borderId="42" fillId="0" fontId="3" numFmtId="0" xfId="0" applyBorder="1" applyFont="1"/>
    <xf borderId="43" fillId="0" fontId="3" numFmtId="0" xfId="0" applyBorder="1" applyFont="1"/>
    <xf borderId="4" fillId="2" fontId="1" numFmtId="0" xfId="0" applyAlignment="1" applyBorder="1" applyFont="1">
      <alignment shrinkToFit="0" vertical="center" wrapText="0"/>
    </xf>
    <xf borderId="1" fillId="2" fontId="1" numFmtId="9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44" fillId="2" fontId="10" numFmtId="0" xfId="0" applyAlignment="1" applyBorder="1" applyFont="1">
      <alignment horizontal="center" shrinkToFit="0" vertical="center" wrapText="1"/>
    </xf>
    <xf borderId="35" fillId="2" fontId="1" numFmtId="0" xfId="0" applyAlignment="1" applyBorder="1" applyFont="1">
      <alignment horizontal="center" shrinkToFit="0" vertical="center" wrapText="1"/>
    </xf>
    <xf borderId="45" fillId="2" fontId="1" numFmtId="0" xfId="0" applyAlignment="1" applyBorder="1" applyFont="1">
      <alignment horizontal="center" shrinkToFit="0" vertical="center" wrapText="0"/>
    </xf>
    <xf borderId="45" fillId="2" fontId="1" numFmtId="0" xfId="0" applyAlignment="1" applyBorder="1" applyFont="1">
      <alignment horizontal="center" readingOrder="0" shrinkToFit="0" vertical="center" wrapText="0"/>
    </xf>
    <xf borderId="46" fillId="0" fontId="3" numFmtId="0" xfId="0" applyBorder="1" applyFont="1"/>
    <xf borderId="47" fillId="0" fontId="3" numFmtId="0" xfId="0" applyBorder="1" applyFont="1"/>
    <xf borderId="32" fillId="2" fontId="11" numFmtId="0" xfId="0" applyAlignment="1" applyBorder="1" applyFont="1">
      <alignment horizontal="center" shrinkToFit="0" vertical="center" wrapText="1"/>
    </xf>
    <xf borderId="44" fillId="2" fontId="11" numFmtId="0" xfId="0" applyAlignment="1" applyBorder="1" applyFont="1">
      <alignment horizontal="center" shrinkToFit="0" vertical="center" wrapText="1"/>
    </xf>
    <xf borderId="44" fillId="2" fontId="1" numFmtId="9" xfId="0" applyAlignment="1" applyBorder="1" applyFont="1" applyNumberFormat="1">
      <alignment horizontal="center" shrinkToFit="0" vertical="center" wrapText="1"/>
    </xf>
    <xf borderId="44" fillId="2" fontId="1" numFmtId="0" xfId="0" applyAlignment="1" applyBorder="1" applyFont="1">
      <alignment horizontal="center" shrinkToFit="0" vertical="center" wrapText="1"/>
    </xf>
    <xf borderId="48" fillId="0" fontId="3" numFmtId="0" xfId="0" applyBorder="1" applyFont="1"/>
    <xf borderId="2" fillId="2" fontId="1" numFmtId="0" xfId="0" applyAlignment="1" applyBorder="1" applyFont="1">
      <alignment horizontal="center" shrinkToFit="0" vertical="center" wrapText="0"/>
    </xf>
    <xf borderId="49" fillId="2" fontId="12" numFmtId="0" xfId="0" applyAlignment="1" applyBorder="1" applyFont="1">
      <alignment horizontal="center" readingOrder="0" shrinkToFit="0" vertical="center" wrapText="0"/>
    </xf>
    <xf borderId="49" fillId="0" fontId="3" numFmtId="0" xfId="0" applyBorder="1" applyFont="1"/>
    <xf borderId="8" fillId="2" fontId="1" numFmtId="0" xfId="0" applyAlignment="1" applyBorder="1" applyFont="1">
      <alignment horizontal="center" shrinkToFit="0" vertical="center" wrapText="0"/>
    </xf>
    <xf borderId="50" fillId="2" fontId="1" numFmtId="0" xfId="0" applyAlignment="1" applyBorder="1" applyFont="1">
      <alignment horizontal="left" readingOrder="0" shrinkToFit="0" vertical="center" wrapText="0"/>
    </xf>
    <xf borderId="51" fillId="2" fontId="1" numFmtId="0" xfId="0" applyAlignment="1" applyBorder="1" applyFont="1">
      <alignment horizontal="left" shrinkToFit="0" vertical="center" wrapText="0"/>
    </xf>
    <xf borderId="52" fillId="2" fontId="2" numFmtId="0" xfId="0" applyAlignment="1" applyBorder="1" applyFont="1">
      <alignment horizontal="center" readingOrder="0" shrinkToFit="0" vertical="center" wrapText="0"/>
    </xf>
    <xf borderId="53" fillId="0" fontId="13" numFmtId="0" xfId="0" applyAlignment="1" applyBorder="1" applyFont="1">
      <alignment horizontal="center" shrinkToFit="0" vertical="center" wrapText="0"/>
    </xf>
    <xf borderId="8" fillId="2" fontId="14" numFmtId="0" xfId="0" applyAlignment="1" applyBorder="1" applyFont="1">
      <alignment horizontal="center" shrinkToFit="0" vertical="center" wrapText="0"/>
    </xf>
    <xf borderId="2" fillId="2" fontId="1" numFmtId="9" xfId="0" applyAlignment="1" applyBorder="1" applyFont="1" applyNumberFormat="1">
      <alignment horizontal="center" shrinkToFit="0" vertical="center" wrapText="0"/>
    </xf>
    <xf borderId="54" fillId="2" fontId="1" numFmtId="0" xfId="0" applyAlignment="1" applyBorder="1" applyFont="1">
      <alignment horizontal="left" shrinkToFit="0" vertical="center" wrapText="0"/>
    </xf>
    <xf borderId="55" fillId="2" fontId="1" numFmtId="0" xfId="0" applyAlignment="1" applyBorder="1" applyFont="1">
      <alignment horizontal="center" shrinkToFit="0" vertical="center" wrapText="0"/>
    </xf>
    <xf borderId="53" fillId="0" fontId="13" numFmtId="0" xfId="0" applyAlignment="1" applyBorder="1" applyFont="1">
      <alignment horizontal="center" readingOrder="0" shrinkToFit="0" vertical="center" wrapText="0"/>
    </xf>
    <xf borderId="56" fillId="2" fontId="1" numFmtId="0" xfId="0" applyAlignment="1" applyBorder="1" applyFont="1">
      <alignment horizontal="left" shrinkToFit="0" vertical="center" wrapText="0"/>
    </xf>
    <xf borderId="57" fillId="2" fontId="1" numFmtId="0" xfId="0" applyAlignment="1" applyBorder="1" applyFont="1">
      <alignment horizontal="left" shrinkToFit="0" vertical="center" wrapText="0"/>
    </xf>
    <xf borderId="58" fillId="0" fontId="3" numFmtId="0" xfId="0" applyBorder="1" applyFont="1"/>
    <xf borderId="52" fillId="2" fontId="2" numFmtId="0" xfId="0" applyAlignment="1" applyBorder="1" applyFont="1">
      <alignment horizontal="center" shrinkToFit="0" vertical="center" wrapText="0"/>
    </xf>
    <xf borderId="59" fillId="2" fontId="1" numFmtId="0" xfId="0" applyAlignment="1" applyBorder="1" applyFont="1">
      <alignment shrinkToFit="0" vertical="center" wrapText="0"/>
    </xf>
    <xf borderId="56" fillId="2" fontId="1" numFmtId="0" xfId="0" applyAlignment="1" applyBorder="1" applyFont="1">
      <alignment shrinkToFit="0" vertical="center" wrapText="0"/>
    </xf>
    <xf borderId="60" fillId="2" fontId="1" numFmtId="0" xfId="0" applyAlignment="1" applyBorder="1" applyFont="1">
      <alignment horizontal="center" shrinkToFit="0" vertical="center" wrapText="0"/>
    </xf>
    <xf borderId="61" fillId="0" fontId="3" numFmtId="0" xfId="0" applyBorder="1" applyFont="1"/>
    <xf borderId="62" fillId="0" fontId="3" numFmtId="0" xfId="0" applyBorder="1" applyFont="1"/>
    <xf borderId="63" fillId="2" fontId="2" numFmtId="0" xfId="0" applyAlignment="1" applyBorder="1" applyFont="1">
      <alignment shrinkToFit="0" vertical="center" wrapText="1"/>
    </xf>
    <xf borderId="64" fillId="0" fontId="3" numFmtId="0" xfId="0" applyBorder="1" applyFont="1"/>
    <xf borderId="63" fillId="2" fontId="1" numFmtId="0" xfId="0" applyAlignment="1" applyBorder="1" applyFont="1">
      <alignment horizontal="center" shrinkToFit="0" vertical="center" wrapText="0"/>
    </xf>
    <xf borderId="65" fillId="0" fontId="3" numFmtId="0" xfId="0" applyBorder="1" applyFont="1"/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1" fillId="2" fontId="15" numFmtId="0" xfId="0" applyAlignment="1" applyBorder="1" applyFont="1">
      <alignment horizontal="left" shrinkToFit="0" vertical="bottom" wrapText="0"/>
    </xf>
    <xf borderId="29" fillId="2" fontId="2" numFmtId="0" xfId="0" applyAlignment="1" applyBorder="1" applyFont="1">
      <alignment horizontal="left" shrinkToFit="0" vertical="top" wrapText="0"/>
    </xf>
    <xf borderId="70" fillId="0" fontId="3" numFmtId="0" xfId="0" applyBorder="1" applyFont="1"/>
    <xf borderId="1" fillId="2" fontId="2" numFmtId="0" xfId="0" applyAlignment="1" applyBorder="1" applyFont="1">
      <alignment horizontal="left" shrinkToFit="0" vertical="top" wrapText="0"/>
    </xf>
    <xf borderId="1" fillId="2" fontId="16" numFmtId="0" xfId="0" applyAlignment="1" applyBorder="1" applyFont="1">
      <alignment horizontal="left" shrinkToFit="0" vertical="bottom" wrapText="0"/>
    </xf>
    <xf borderId="71" fillId="2" fontId="2" numFmtId="0" xfId="0" applyAlignment="1" applyBorder="1" applyFont="1">
      <alignment horizontal="left" shrinkToFit="0" vertical="bottom" wrapText="0"/>
    </xf>
    <xf borderId="72" fillId="0" fontId="3" numFmtId="0" xfId="0" applyBorder="1" applyFont="1"/>
    <xf borderId="1" fillId="2" fontId="2" numFmtId="0" xfId="0" applyAlignment="1" applyBorder="1" applyFont="1">
      <alignment horizontal="left" shrinkToFit="0" vertical="bottom" wrapText="0"/>
    </xf>
    <xf borderId="36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shrinkToFit="0" vertical="center" wrapText="0"/>
    </xf>
    <xf borderId="29" fillId="2" fontId="1" numFmtId="0" xfId="0" applyAlignment="1" applyBorder="1" applyFont="1">
      <alignment shrinkToFit="0" vertical="center" wrapText="0"/>
    </xf>
    <xf borderId="28" fillId="2" fontId="12" numFmtId="0" xfId="0" applyAlignment="1" applyBorder="1" applyFont="1">
      <alignment horizontal="left" shrinkToFit="0" vertical="bottom" wrapText="0"/>
    </xf>
    <xf borderId="73" fillId="0" fontId="3" numFmtId="0" xfId="0" applyBorder="1" applyFont="1"/>
    <xf borderId="46" fillId="2" fontId="1" numFmtId="0" xfId="0" applyAlignment="1" applyBorder="1" applyFont="1">
      <alignment horizontal="center" readingOrder="0" shrinkToFit="0" vertical="center" wrapText="0"/>
    </xf>
    <xf borderId="47" fillId="2" fontId="1" numFmtId="0" xfId="0" applyAlignment="1" applyBorder="1" applyFont="1">
      <alignment horizontal="center" readingOrder="0" shrinkToFit="0" vertical="center" wrapText="0"/>
    </xf>
    <xf borderId="50" fillId="3" fontId="1" numFmtId="0" xfId="0" applyAlignment="1" applyBorder="1" applyFill="1" applyFont="1">
      <alignment horizontal="left" readingOrder="0" shrinkToFit="0" vertical="center" wrapText="0"/>
    </xf>
    <xf borderId="54" fillId="3" fontId="1" numFmtId="0" xfId="0" applyAlignment="1" applyBorder="1" applyFont="1">
      <alignment horizontal="left" shrinkToFit="0" vertical="center" wrapText="0"/>
    </xf>
    <xf borderId="52" fillId="3" fontId="2" numFmtId="0" xfId="0" applyAlignment="1" applyBorder="1" applyFont="1">
      <alignment horizontal="center" readingOrder="0" shrinkToFit="0" vertical="center" wrapText="0"/>
    </xf>
    <xf borderId="50" fillId="4" fontId="1" numFmtId="0" xfId="0" applyAlignment="1" applyBorder="1" applyFill="1" applyFont="1">
      <alignment horizontal="left" readingOrder="0" shrinkToFit="0" vertical="center" wrapText="0"/>
    </xf>
    <xf borderId="56" fillId="4" fontId="1" numFmtId="0" xfId="0" applyAlignment="1" applyBorder="1" applyFont="1">
      <alignment horizontal="left" shrinkToFit="0" vertical="center" wrapText="0"/>
    </xf>
    <xf borderId="52" fillId="4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008000"/>
          <bgColor rgb="FF008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1</xdr:row>
      <xdr:rowOff>0</xdr:rowOff>
    </xdr:from>
    <xdr:ext cx="1114425" cy="323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8.75"/>
    <col customWidth="1" min="3" max="3" width="53.88"/>
    <col customWidth="1" min="4" max="5" width="2.25"/>
    <col customWidth="1" min="6" max="10" width="3.75"/>
    <col customWidth="1" min="11" max="11" width="1.75"/>
    <col customWidth="1" min="12" max="12" width="3.75"/>
    <col customWidth="1" min="13" max="13" width="5.75"/>
    <col customWidth="1" min="14" max="14" width="2.75"/>
    <col customWidth="1" min="15" max="17" width="3.75"/>
    <col customWidth="1" min="18" max="19" width="2.75"/>
    <col customWidth="1" min="20" max="24" width="3.75"/>
    <col customWidth="1" min="25" max="25" width="2.75"/>
    <col customWidth="1" min="26" max="32" width="9.13"/>
  </cols>
  <sheetData>
    <row r="1" ht="11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5.5" customHeight="1">
      <c r="A2" s="4" t="s">
        <v>0</v>
      </c>
      <c r="B2" s="5" t="s">
        <v>1</v>
      </c>
      <c r="C2" s="5" t="s">
        <v>2</v>
      </c>
      <c r="D2" s="6"/>
      <c r="E2" s="7"/>
      <c r="F2" s="8"/>
      <c r="G2" s="8"/>
      <c r="H2" s="8"/>
      <c r="I2" s="8"/>
      <c r="J2" s="8"/>
      <c r="K2" s="9" t="s">
        <v>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12"/>
      <c r="Y2" s="12"/>
      <c r="Z2" s="8"/>
      <c r="AA2" s="8"/>
      <c r="AB2" s="8"/>
      <c r="AC2" s="8"/>
      <c r="AD2" s="8"/>
      <c r="AE2" s="8"/>
      <c r="AF2" s="8"/>
    </row>
    <row r="3" ht="12.75" customHeight="1">
      <c r="A3" s="13">
        <v>45659.0</v>
      </c>
      <c r="B3" s="14">
        <v>4.0</v>
      </c>
      <c r="C3" s="15" t="s">
        <v>4</v>
      </c>
      <c r="D3" s="16"/>
      <c r="E3" s="17"/>
      <c r="F3" s="8"/>
      <c r="G3" s="8"/>
      <c r="H3" s="8"/>
      <c r="I3" s="8"/>
      <c r="J3" s="18"/>
      <c r="K3" s="8"/>
      <c r="L3" s="9" t="s">
        <v>5</v>
      </c>
      <c r="M3" s="10"/>
      <c r="N3" s="10"/>
      <c r="O3" s="10"/>
      <c r="P3" s="10"/>
      <c r="Q3" s="10"/>
      <c r="R3" s="11"/>
      <c r="S3" s="19"/>
      <c r="T3" s="19"/>
      <c r="U3" s="19"/>
      <c r="V3" s="19"/>
      <c r="W3" s="20"/>
      <c r="X3" s="18"/>
      <c r="Y3" s="18"/>
      <c r="Z3" s="8"/>
      <c r="AA3" s="8"/>
      <c r="AB3" s="8"/>
      <c r="AC3" s="8"/>
      <c r="AD3" s="8"/>
      <c r="AE3" s="8"/>
      <c r="AF3" s="8"/>
    </row>
    <row r="4" ht="12.75" customHeight="1">
      <c r="A4" s="13">
        <v>45871.0</v>
      </c>
      <c r="B4" s="14">
        <v>4.0</v>
      </c>
      <c r="C4" s="21" t="s">
        <v>6</v>
      </c>
      <c r="D4" s="16"/>
      <c r="E4" s="17"/>
      <c r="F4" s="22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8"/>
      <c r="AA4" s="8"/>
      <c r="AB4" s="8"/>
      <c r="AC4" s="8"/>
      <c r="AD4" s="8"/>
      <c r="AE4" s="8"/>
      <c r="AF4" s="8"/>
    </row>
    <row r="5" ht="12.75" customHeight="1">
      <c r="A5" s="23">
        <v>45703.0</v>
      </c>
      <c r="B5" s="14">
        <v>4.0</v>
      </c>
      <c r="C5" s="21" t="s">
        <v>8</v>
      </c>
      <c r="D5" s="16"/>
      <c r="E5" s="17"/>
      <c r="F5" s="22" t="s">
        <v>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  <c r="Z5" s="8"/>
      <c r="AA5" s="8"/>
      <c r="AB5" s="8"/>
      <c r="AC5" s="8"/>
      <c r="AD5" s="8"/>
      <c r="AE5" s="8"/>
      <c r="AF5" s="8"/>
    </row>
    <row r="6" ht="12.75" customHeight="1">
      <c r="A6" s="23">
        <v>45710.0</v>
      </c>
      <c r="B6" s="14">
        <v>4.0</v>
      </c>
      <c r="C6" s="21" t="s">
        <v>8</v>
      </c>
      <c r="D6" s="16"/>
      <c r="E6" s="17"/>
      <c r="F6" s="24" t="s">
        <v>10</v>
      </c>
      <c r="G6" s="25"/>
      <c r="H6" s="25"/>
      <c r="I6" s="26"/>
      <c r="J6" s="24" t="s">
        <v>11</v>
      </c>
      <c r="K6" s="25"/>
      <c r="L6" s="25"/>
      <c r="M6" s="26"/>
      <c r="N6" s="27" t="s">
        <v>12</v>
      </c>
      <c r="O6" s="25"/>
      <c r="P6" s="25"/>
      <c r="Q6" s="25"/>
      <c r="R6" s="26"/>
      <c r="S6" s="24" t="s">
        <v>13</v>
      </c>
      <c r="T6" s="25"/>
      <c r="U6" s="25"/>
      <c r="V6" s="26"/>
      <c r="W6" s="24" t="s">
        <v>14</v>
      </c>
      <c r="X6" s="25"/>
      <c r="Y6" s="26"/>
      <c r="Z6" s="8"/>
      <c r="AA6" s="8"/>
      <c r="AB6" s="8"/>
      <c r="AC6" s="8"/>
      <c r="AD6" s="8"/>
      <c r="AE6" s="8"/>
      <c r="AF6" s="8"/>
    </row>
    <row r="7" ht="12.75" customHeight="1">
      <c r="A7" s="13">
        <v>45872.0</v>
      </c>
      <c r="B7" s="28">
        <v>4.0</v>
      </c>
      <c r="C7" s="15" t="s">
        <v>15</v>
      </c>
      <c r="D7" s="16"/>
      <c r="E7" s="17"/>
      <c r="F7" s="29"/>
      <c r="G7" s="10"/>
      <c r="H7" s="10"/>
      <c r="I7" s="30"/>
      <c r="J7" s="31" t="s">
        <v>16</v>
      </c>
      <c r="K7" s="32"/>
      <c r="L7" s="32"/>
      <c r="M7" s="33"/>
      <c r="N7" s="34" t="s">
        <v>16</v>
      </c>
      <c r="O7" s="32"/>
      <c r="P7" s="32"/>
      <c r="Q7" s="32"/>
      <c r="R7" s="33"/>
      <c r="S7" s="35" t="s">
        <v>17</v>
      </c>
      <c r="T7" s="32"/>
      <c r="U7" s="32"/>
      <c r="V7" s="33"/>
      <c r="W7" s="36">
        <v>45871.0</v>
      </c>
      <c r="X7" s="32"/>
      <c r="Y7" s="33"/>
      <c r="Z7" s="8"/>
      <c r="AA7" s="8"/>
      <c r="AB7" s="8"/>
      <c r="AC7" s="3"/>
      <c r="AD7" s="3"/>
      <c r="AE7" s="3"/>
      <c r="AF7" s="3"/>
    </row>
    <row r="8" ht="12.75" customHeight="1">
      <c r="A8" s="37">
        <v>45731.0</v>
      </c>
      <c r="B8" s="28">
        <v>4.0</v>
      </c>
      <c r="C8" s="15" t="s">
        <v>15</v>
      </c>
      <c r="D8" s="16"/>
      <c r="E8" s="17"/>
      <c r="F8" s="38"/>
      <c r="G8" s="39"/>
      <c r="H8" s="39"/>
      <c r="I8" s="40"/>
      <c r="J8" s="41"/>
      <c r="K8" s="42"/>
      <c r="L8" s="42"/>
      <c r="M8" s="43"/>
      <c r="N8" s="41"/>
      <c r="O8" s="42"/>
      <c r="P8" s="42"/>
      <c r="Q8" s="42"/>
      <c r="R8" s="43"/>
      <c r="S8" s="41"/>
      <c r="T8" s="42"/>
      <c r="U8" s="42"/>
      <c r="V8" s="43"/>
      <c r="W8" s="41"/>
      <c r="X8" s="42"/>
      <c r="Y8" s="43"/>
      <c r="Z8" s="8"/>
      <c r="AA8" s="8"/>
      <c r="AB8" s="8"/>
      <c r="AC8" s="3"/>
      <c r="AD8" s="3"/>
      <c r="AE8" s="3"/>
      <c r="AF8" s="3"/>
    </row>
    <row r="9" ht="12.75" customHeight="1">
      <c r="A9" s="28" t="s">
        <v>18</v>
      </c>
      <c r="B9" s="28">
        <v>4.0</v>
      </c>
      <c r="C9" s="15" t="s">
        <v>19</v>
      </c>
      <c r="D9" s="16"/>
      <c r="E9" s="17"/>
      <c r="F9" s="44" t="s">
        <v>20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6"/>
      <c r="Z9" s="8"/>
      <c r="AA9" s="8"/>
      <c r="AB9" s="8"/>
      <c r="AC9" s="3"/>
      <c r="AD9" s="3"/>
      <c r="AE9" s="3"/>
      <c r="AF9" s="3"/>
    </row>
    <row r="10" ht="12.75" customHeight="1">
      <c r="A10" s="28" t="s">
        <v>21</v>
      </c>
      <c r="B10" s="28">
        <v>4.0</v>
      </c>
      <c r="C10" s="15" t="s">
        <v>22</v>
      </c>
      <c r="D10" s="16"/>
      <c r="E10" s="17"/>
      <c r="F10" s="45" t="s">
        <v>23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8"/>
      <c r="AA10" s="8"/>
      <c r="AB10" s="8"/>
      <c r="AC10" s="3"/>
      <c r="AD10" s="3"/>
      <c r="AE10" s="3"/>
      <c r="AF10" s="3"/>
    </row>
    <row r="11" ht="12.75" customHeight="1">
      <c r="A11" s="13"/>
      <c r="B11" s="46"/>
      <c r="C11" s="47"/>
      <c r="D11" s="16"/>
      <c r="E11" s="17"/>
      <c r="F11" s="44" t="s">
        <v>24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6"/>
      <c r="Z11" s="8"/>
      <c r="AA11" s="8"/>
      <c r="AB11" s="8"/>
      <c r="AC11" s="8"/>
      <c r="AD11" s="8"/>
      <c r="AE11" s="8"/>
      <c r="AF11" s="8"/>
    </row>
    <row r="12" ht="12.75" customHeight="1">
      <c r="A12" s="13"/>
      <c r="B12" s="46"/>
      <c r="C12" s="47"/>
      <c r="D12" s="16"/>
      <c r="E12" s="17"/>
      <c r="F12" s="45" t="s">
        <v>25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8"/>
      <c r="AA12" s="8"/>
      <c r="AB12" s="8"/>
      <c r="AC12" s="8"/>
      <c r="AD12" s="8"/>
      <c r="AE12" s="8"/>
      <c r="AF12" s="8"/>
    </row>
    <row r="13" ht="12.75" customHeight="1">
      <c r="A13" s="13"/>
      <c r="B13" s="46"/>
      <c r="C13" s="47"/>
      <c r="D13" s="16"/>
      <c r="E13" s="17"/>
      <c r="F13" s="27" t="s">
        <v>26</v>
      </c>
      <c r="G13" s="25"/>
      <c r="H13" s="25"/>
      <c r="I13" s="25"/>
      <c r="J13" s="25"/>
      <c r="K13" s="26"/>
      <c r="L13" s="48" t="s">
        <v>27</v>
      </c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9"/>
      <c r="Z13" s="8"/>
      <c r="AA13" s="8"/>
      <c r="AB13" s="8"/>
      <c r="AC13" s="8"/>
      <c r="AD13" s="8"/>
      <c r="AE13" s="8"/>
      <c r="AF13" s="8"/>
    </row>
    <row r="14" ht="12.75" customHeight="1">
      <c r="A14" s="13"/>
      <c r="B14" s="46"/>
      <c r="C14" s="50"/>
      <c r="D14" s="16"/>
      <c r="E14" s="17"/>
      <c r="F14" s="51">
        <v>45689.0</v>
      </c>
      <c r="G14" s="32"/>
      <c r="H14" s="32"/>
      <c r="I14" s="32"/>
      <c r="J14" s="32"/>
      <c r="K14" s="33"/>
      <c r="L14" s="5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0"/>
      <c r="Z14" s="8"/>
      <c r="AA14" s="8"/>
      <c r="AB14" s="8"/>
      <c r="AC14" s="8"/>
      <c r="AD14" s="8"/>
      <c r="AE14" s="8"/>
      <c r="AF14" s="8"/>
    </row>
    <row r="15" ht="12.75" customHeight="1">
      <c r="A15" s="13"/>
      <c r="B15" s="46"/>
      <c r="C15" s="47"/>
      <c r="D15" s="16"/>
      <c r="E15" s="17"/>
      <c r="F15" s="41"/>
      <c r="G15" s="42"/>
      <c r="H15" s="42"/>
      <c r="I15" s="42"/>
      <c r="J15" s="42"/>
      <c r="K15" s="43"/>
      <c r="L15" s="52" t="s">
        <v>28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0"/>
      <c r="Z15" s="8"/>
      <c r="AA15" s="8"/>
      <c r="AB15" s="8"/>
      <c r="AC15" s="8"/>
      <c r="AD15" s="8"/>
      <c r="AE15" s="8"/>
      <c r="AF15" s="8"/>
    </row>
    <row r="16" ht="12.75" customHeight="1">
      <c r="A16" s="13"/>
      <c r="B16" s="46"/>
      <c r="C16" s="47"/>
      <c r="D16" s="16"/>
      <c r="E16" s="17"/>
      <c r="F16" s="27" t="s">
        <v>29</v>
      </c>
      <c r="G16" s="25"/>
      <c r="H16" s="25"/>
      <c r="I16" s="25"/>
      <c r="J16" s="25"/>
      <c r="K16" s="26"/>
      <c r="L16" s="53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  <c r="Y16" s="54"/>
      <c r="Z16" s="8"/>
      <c r="AA16" s="8"/>
      <c r="AB16" s="8"/>
      <c r="AC16" s="8"/>
      <c r="AD16" s="8"/>
      <c r="AE16" s="8"/>
      <c r="AF16" s="8"/>
    </row>
    <row r="17" ht="12.75" customHeight="1">
      <c r="A17" s="13"/>
      <c r="B17" s="46"/>
      <c r="C17" s="47"/>
      <c r="D17" s="16"/>
      <c r="E17" s="17"/>
      <c r="F17" s="51">
        <v>46067.0</v>
      </c>
      <c r="G17" s="32"/>
      <c r="H17" s="32"/>
      <c r="I17" s="32"/>
      <c r="J17" s="32"/>
      <c r="K17" s="33"/>
      <c r="L17" s="53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  <c r="Y17" s="54"/>
      <c r="Z17" s="8"/>
      <c r="AA17" s="8"/>
      <c r="AB17" s="8"/>
      <c r="AC17" s="8"/>
      <c r="AD17" s="8"/>
      <c r="AE17" s="8"/>
      <c r="AF17" s="8"/>
    </row>
    <row r="18" ht="12.75" customHeight="1">
      <c r="A18" s="55"/>
      <c r="B18" s="46"/>
      <c r="C18" s="47"/>
      <c r="D18" s="16"/>
      <c r="E18" s="17"/>
      <c r="F18" s="41"/>
      <c r="G18" s="42"/>
      <c r="H18" s="42"/>
      <c r="I18" s="42"/>
      <c r="J18" s="42"/>
      <c r="K18" s="43"/>
      <c r="L18" s="53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  <c r="Y18" s="54"/>
      <c r="Z18" s="8"/>
      <c r="AA18" s="8"/>
      <c r="AB18" s="8"/>
      <c r="AC18" s="8"/>
      <c r="AD18" s="8"/>
      <c r="AE18" s="8"/>
      <c r="AF18" s="8"/>
    </row>
    <row r="19" ht="12.75" customHeight="1">
      <c r="A19" s="55"/>
      <c r="B19" s="46"/>
      <c r="C19" s="47"/>
      <c r="D19" s="16"/>
      <c r="E19" s="17"/>
      <c r="F19" s="27" t="s">
        <v>30</v>
      </c>
      <c r="G19" s="25"/>
      <c r="H19" s="25"/>
      <c r="I19" s="25"/>
      <c r="J19" s="25"/>
      <c r="K19" s="26"/>
      <c r="L19" s="56" t="s">
        <v>31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6"/>
      <c r="Z19" s="8"/>
      <c r="AA19" s="8"/>
      <c r="AB19" s="8"/>
      <c r="AC19" s="8"/>
      <c r="AD19" s="8"/>
      <c r="AE19" s="8"/>
      <c r="AF19" s="8"/>
    </row>
    <row r="20" ht="12.75" customHeight="1">
      <c r="A20" s="55"/>
      <c r="B20" s="46"/>
      <c r="C20" s="47"/>
      <c r="D20" s="16"/>
      <c r="E20" s="17"/>
      <c r="F20" s="57">
        <v>160.0</v>
      </c>
      <c r="G20" s="39"/>
      <c r="H20" s="39"/>
      <c r="I20" s="39"/>
      <c r="J20" s="39"/>
      <c r="K20" s="40"/>
      <c r="L20" s="58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8"/>
      <c r="AA20" s="8"/>
      <c r="AB20" s="8"/>
      <c r="AC20" s="8"/>
      <c r="AD20" s="8"/>
      <c r="AE20" s="8"/>
      <c r="AF20" s="8"/>
    </row>
    <row r="21" ht="12.75" customHeight="1">
      <c r="A21" s="55"/>
      <c r="B21" s="46"/>
      <c r="C21" s="47"/>
      <c r="D21" s="16"/>
      <c r="E21" s="17"/>
      <c r="F21" s="59" t="s">
        <v>32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8"/>
      <c r="AA21" s="8"/>
      <c r="AB21" s="8"/>
      <c r="AC21" s="8"/>
      <c r="AD21" s="8"/>
      <c r="AE21" s="8"/>
      <c r="AF21" s="8"/>
    </row>
    <row r="22" ht="12.75" customHeight="1">
      <c r="A22" s="55"/>
      <c r="B22" s="46"/>
      <c r="C22" s="47"/>
      <c r="D22" s="16"/>
      <c r="E22" s="17"/>
      <c r="F22" s="60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2"/>
      <c r="Z22" s="8"/>
      <c r="AA22" s="8"/>
      <c r="AB22" s="8"/>
      <c r="AC22" s="8"/>
      <c r="AD22" s="8"/>
      <c r="AE22" s="8"/>
      <c r="AF22" s="8"/>
    </row>
    <row r="23" ht="12.75" customHeight="1">
      <c r="A23" s="55"/>
      <c r="B23" s="46"/>
      <c r="C23" s="47"/>
      <c r="D23" s="16"/>
      <c r="E23" s="17"/>
      <c r="F23" s="63"/>
      <c r="Y23" s="64"/>
      <c r="Z23" s="8"/>
      <c r="AA23" s="8"/>
      <c r="AB23" s="8"/>
      <c r="AC23" s="8"/>
      <c r="AD23" s="8"/>
      <c r="AE23" s="8"/>
      <c r="AF23" s="8"/>
    </row>
    <row r="24" ht="12.75" customHeight="1">
      <c r="A24" s="55"/>
      <c r="B24" s="46"/>
      <c r="C24" s="47"/>
      <c r="D24" s="16"/>
      <c r="E24" s="17"/>
      <c r="F24" s="63"/>
      <c r="Y24" s="64"/>
      <c r="Z24" s="8"/>
      <c r="AA24" s="8"/>
      <c r="AB24" s="8"/>
      <c r="AC24" s="8"/>
      <c r="AD24" s="8"/>
      <c r="AE24" s="8"/>
      <c r="AF24" s="8"/>
    </row>
    <row r="25" ht="12.75" customHeight="1">
      <c r="A25" s="55"/>
      <c r="B25" s="46"/>
      <c r="C25" s="47"/>
      <c r="D25" s="16"/>
      <c r="E25" s="17"/>
      <c r="F25" s="63"/>
      <c r="Y25" s="64"/>
      <c r="Z25" s="8"/>
      <c r="AA25" s="8"/>
      <c r="AB25" s="8"/>
      <c r="AC25" s="8"/>
      <c r="AD25" s="8"/>
      <c r="AE25" s="8"/>
      <c r="AF25" s="8"/>
    </row>
    <row r="26" ht="12.75" customHeight="1">
      <c r="A26" s="55"/>
      <c r="B26" s="46"/>
      <c r="C26" s="47"/>
      <c r="D26" s="16"/>
      <c r="E26" s="17"/>
      <c r="F26" s="63"/>
      <c r="Y26" s="64"/>
      <c r="Z26" s="8"/>
      <c r="AA26" s="8"/>
      <c r="AB26" s="8"/>
      <c r="AC26" s="8"/>
      <c r="AD26" s="8"/>
      <c r="AE26" s="8"/>
      <c r="AF26" s="8"/>
    </row>
    <row r="27" ht="12.75" customHeight="1">
      <c r="A27" s="55"/>
      <c r="B27" s="46"/>
      <c r="C27" s="47"/>
      <c r="D27" s="16"/>
      <c r="E27" s="17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3"/>
      <c r="Z27" s="8"/>
      <c r="AA27" s="8"/>
      <c r="AB27" s="8"/>
      <c r="AC27" s="8"/>
      <c r="AD27" s="8"/>
      <c r="AE27" s="8"/>
      <c r="AF27" s="8"/>
    </row>
    <row r="28" ht="12.75" customHeight="1">
      <c r="A28" s="55"/>
      <c r="B28" s="46"/>
      <c r="C28" s="47"/>
      <c r="D28" s="16"/>
      <c r="E28" s="17"/>
      <c r="F28" s="65" t="s">
        <v>33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2"/>
      <c r="Z28" s="8"/>
      <c r="AA28" s="8"/>
      <c r="AB28" s="8"/>
      <c r="AC28" s="8"/>
      <c r="AD28" s="8"/>
      <c r="AE28" s="8"/>
      <c r="AF28" s="8"/>
    </row>
    <row r="29" ht="12.75" customHeight="1">
      <c r="A29" s="55"/>
      <c r="B29" s="46"/>
      <c r="C29" s="47"/>
      <c r="D29" s="16"/>
      <c r="E29" s="17"/>
      <c r="F29" s="41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3"/>
      <c r="Z29" s="8"/>
      <c r="AA29" s="8"/>
      <c r="AB29" s="8"/>
      <c r="AC29" s="8"/>
      <c r="AD29" s="8"/>
      <c r="AE29" s="8"/>
      <c r="AF29" s="8"/>
    </row>
    <row r="30" ht="12.75" customHeight="1">
      <c r="A30" s="55"/>
      <c r="B30" s="46"/>
      <c r="C30" s="47"/>
      <c r="D30" s="16"/>
      <c r="E30" s="17"/>
      <c r="F30" s="60" t="s">
        <v>34</v>
      </c>
      <c r="G30" s="61"/>
      <c r="H30" s="61"/>
      <c r="I30" s="61"/>
      <c r="J30" s="61"/>
      <c r="K30" s="61"/>
      <c r="L30" s="62"/>
      <c r="M30" s="60" t="s">
        <v>35</v>
      </c>
      <c r="N30" s="61"/>
      <c r="O30" s="61"/>
      <c r="P30" s="62"/>
      <c r="Q30" s="60" t="s">
        <v>36</v>
      </c>
      <c r="R30" s="61"/>
      <c r="S30" s="61"/>
      <c r="T30" s="62"/>
      <c r="U30" s="60" t="s">
        <v>37</v>
      </c>
      <c r="V30" s="61"/>
      <c r="W30" s="61"/>
      <c r="X30" s="61"/>
      <c r="Y30" s="62"/>
      <c r="Z30" s="8"/>
      <c r="AA30" s="8"/>
      <c r="AB30" s="8"/>
      <c r="AC30" s="8"/>
      <c r="AD30" s="8"/>
      <c r="AE30" s="8"/>
      <c r="AF30" s="8"/>
    </row>
    <row r="31" ht="12.75" customHeight="1">
      <c r="A31" s="55"/>
      <c r="B31" s="46"/>
      <c r="C31" s="47"/>
      <c r="D31" s="16"/>
      <c r="E31" s="17"/>
      <c r="F31" s="41"/>
      <c r="G31" s="42"/>
      <c r="H31" s="42"/>
      <c r="I31" s="42"/>
      <c r="J31" s="42"/>
      <c r="K31" s="42"/>
      <c r="L31" s="43"/>
      <c r="M31" s="41"/>
      <c r="N31" s="42"/>
      <c r="O31" s="42"/>
      <c r="P31" s="43"/>
      <c r="Q31" s="41"/>
      <c r="R31" s="42"/>
      <c r="S31" s="42"/>
      <c r="T31" s="43"/>
      <c r="U31" s="41"/>
      <c r="V31" s="42"/>
      <c r="W31" s="42"/>
      <c r="X31" s="42"/>
      <c r="Y31" s="43"/>
      <c r="Z31" s="8"/>
      <c r="AA31" s="8"/>
      <c r="AB31" s="8"/>
      <c r="AC31" s="8"/>
      <c r="AD31" s="8"/>
      <c r="AE31" s="8"/>
      <c r="AF31" s="8"/>
    </row>
    <row r="32" ht="12.75" customHeight="1">
      <c r="A32" s="55"/>
      <c r="B32" s="46"/>
      <c r="C32" s="47"/>
      <c r="D32" s="16"/>
      <c r="E32" s="17"/>
      <c r="F32" s="66" t="s">
        <v>38</v>
      </c>
      <c r="G32" s="61"/>
      <c r="H32" s="61"/>
      <c r="I32" s="67" t="s">
        <v>39</v>
      </c>
      <c r="J32" s="68" t="s">
        <v>38</v>
      </c>
      <c r="K32" s="61"/>
      <c r="L32" s="62"/>
      <c r="M32" s="60"/>
      <c r="N32" s="61"/>
      <c r="O32" s="61"/>
      <c r="P32" s="62"/>
      <c r="Q32" s="60"/>
      <c r="R32" s="61"/>
      <c r="S32" s="61"/>
      <c r="T32" s="62"/>
      <c r="U32" s="60"/>
      <c r="V32" s="61"/>
      <c r="W32" s="61"/>
      <c r="X32" s="61"/>
      <c r="Y32" s="62"/>
      <c r="Z32" s="8"/>
      <c r="AA32" s="8"/>
      <c r="AB32" s="8"/>
      <c r="AC32" s="8"/>
      <c r="AD32" s="8"/>
      <c r="AE32" s="8"/>
      <c r="AF32" s="8"/>
    </row>
    <row r="33" ht="12.75" customHeight="1">
      <c r="A33" s="55"/>
      <c r="B33" s="46"/>
      <c r="C33" s="47"/>
      <c r="D33" s="16"/>
      <c r="E33" s="17"/>
      <c r="F33" s="41"/>
      <c r="G33" s="42"/>
      <c r="H33" s="42"/>
      <c r="I33" s="69"/>
      <c r="J33" s="70"/>
      <c r="K33" s="42"/>
      <c r="L33" s="43"/>
      <c r="M33" s="41"/>
      <c r="N33" s="42"/>
      <c r="O33" s="42"/>
      <c r="P33" s="43"/>
      <c r="Q33" s="41"/>
      <c r="R33" s="42"/>
      <c r="S33" s="42"/>
      <c r="T33" s="43"/>
      <c r="U33" s="41"/>
      <c r="V33" s="42"/>
      <c r="W33" s="42"/>
      <c r="X33" s="42"/>
      <c r="Y33" s="43"/>
      <c r="Z33" s="8"/>
      <c r="AA33" s="8"/>
      <c r="AB33" s="8"/>
      <c r="AC33" s="8"/>
      <c r="AD33" s="8"/>
      <c r="AE33" s="8"/>
      <c r="AF33" s="8"/>
    </row>
    <row r="34" ht="12.75" customHeight="1">
      <c r="A34" s="55"/>
      <c r="B34" s="46"/>
      <c r="C34" s="47"/>
      <c r="D34" s="16"/>
      <c r="E34" s="17"/>
      <c r="F34" s="71" t="s">
        <v>38</v>
      </c>
      <c r="G34" s="61"/>
      <c r="H34" s="61"/>
      <c r="I34" s="67" t="s">
        <v>39</v>
      </c>
      <c r="J34" s="68" t="s">
        <v>38</v>
      </c>
      <c r="K34" s="61"/>
      <c r="L34" s="62"/>
      <c r="M34" s="60"/>
      <c r="N34" s="61"/>
      <c r="O34" s="61"/>
      <c r="P34" s="62"/>
      <c r="Q34" s="60"/>
      <c r="R34" s="61"/>
      <c r="S34" s="61"/>
      <c r="T34" s="62"/>
      <c r="U34" s="60"/>
      <c r="V34" s="61"/>
      <c r="W34" s="61"/>
      <c r="X34" s="61"/>
      <c r="Y34" s="62"/>
      <c r="Z34" s="8"/>
      <c r="AA34" s="8"/>
      <c r="AB34" s="8"/>
      <c r="AC34" s="8"/>
      <c r="AD34" s="8"/>
      <c r="AE34" s="8"/>
      <c r="AF34" s="8"/>
    </row>
    <row r="35" ht="12.75" customHeight="1">
      <c r="A35" s="55"/>
      <c r="B35" s="46"/>
      <c r="C35" s="47"/>
      <c r="D35" s="16"/>
      <c r="E35" s="17"/>
      <c r="F35" s="41"/>
      <c r="G35" s="42"/>
      <c r="H35" s="42"/>
      <c r="I35" s="69"/>
      <c r="J35" s="70"/>
      <c r="K35" s="42"/>
      <c r="L35" s="43"/>
      <c r="M35" s="41"/>
      <c r="N35" s="42"/>
      <c r="O35" s="42"/>
      <c r="P35" s="43"/>
      <c r="Q35" s="41"/>
      <c r="R35" s="42"/>
      <c r="S35" s="42"/>
      <c r="T35" s="43"/>
      <c r="U35" s="41"/>
      <c r="V35" s="42"/>
      <c r="W35" s="42"/>
      <c r="X35" s="42"/>
      <c r="Y35" s="43"/>
      <c r="Z35" s="8"/>
      <c r="AA35" s="8"/>
      <c r="AB35" s="8"/>
      <c r="AC35" s="8"/>
      <c r="AD35" s="8"/>
      <c r="AE35" s="8"/>
      <c r="AF35" s="8"/>
    </row>
    <row r="36" ht="12.75" customHeight="1">
      <c r="A36" s="55"/>
      <c r="B36" s="46"/>
      <c r="C36" s="47"/>
      <c r="D36" s="16"/>
      <c r="E36" s="17"/>
      <c r="F36" s="60" t="s">
        <v>38</v>
      </c>
      <c r="G36" s="61"/>
      <c r="H36" s="72"/>
      <c r="I36" s="67" t="s">
        <v>39</v>
      </c>
      <c r="J36" s="68" t="s">
        <v>38</v>
      </c>
      <c r="K36" s="61"/>
      <c r="L36" s="62"/>
      <c r="M36" s="60"/>
      <c r="N36" s="61"/>
      <c r="O36" s="61"/>
      <c r="P36" s="62"/>
      <c r="Q36" s="60"/>
      <c r="R36" s="61"/>
      <c r="S36" s="61"/>
      <c r="T36" s="62"/>
      <c r="U36" s="60"/>
      <c r="V36" s="61"/>
      <c r="W36" s="61"/>
      <c r="X36" s="61"/>
      <c r="Y36" s="62"/>
      <c r="Z36" s="8"/>
      <c r="AA36" s="8"/>
      <c r="AB36" s="8"/>
      <c r="AC36" s="8"/>
      <c r="AD36" s="8"/>
      <c r="AE36" s="8"/>
      <c r="AF36" s="8"/>
    </row>
    <row r="37" ht="12.75" customHeight="1">
      <c r="A37" s="55"/>
      <c r="B37" s="46"/>
      <c r="C37" s="47"/>
      <c r="D37" s="16"/>
      <c r="E37" s="17"/>
      <c r="F37" s="41"/>
      <c r="G37" s="42"/>
      <c r="H37" s="73"/>
      <c r="I37" s="69"/>
      <c r="J37" s="70"/>
      <c r="K37" s="42"/>
      <c r="L37" s="43"/>
      <c r="M37" s="41"/>
      <c r="N37" s="42"/>
      <c r="O37" s="42"/>
      <c r="P37" s="43"/>
      <c r="Q37" s="41"/>
      <c r="R37" s="42"/>
      <c r="S37" s="42"/>
      <c r="T37" s="43"/>
      <c r="U37" s="41"/>
      <c r="V37" s="42"/>
      <c r="W37" s="42"/>
      <c r="X37" s="42"/>
      <c r="Y37" s="43"/>
      <c r="Z37" s="8"/>
      <c r="AA37" s="8"/>
      <c r="AB37" s="8"/>
      <c r="AC37" s="8"/>
      <c r="AD37" s="8"/>
      <c r="AE37" s="8"/>
      <c r="AF37" s="8"/>
    </row>
    <row r="38" ht="12.75" customHeight="1">
      <c r="A38" s="55"/>
      <c r="B38" s="46"/>
      <c r="C38" s="47"/>
      <c r="D38" s="16"/>
      <c r="E38" s="17"/>
      <c r="F38" s="60" t="s">
        <v>38</v>
      </c>
      <c r="G38" s="61"/>
      <c r="H38" s="72"/>
      <c r="I38" s="67" t="s">
        <v>39</v>
      </c>
      <c r="J38" s="68" t="s">
        <v>38</v>
      </c>
      <c r="K38" s="61"/>
      <c r="L38" s="62"/>
      <c r="M38" s="60"/>
      <c r="N38" s="61"/>
      <c r="O38" s="61"/>
      <c r="P38" s="62"/>
      <c r="Q38" s="60"/>
      <c r="R38" s="61"/>
      <c r="S38" s="61"/>
      <c r="T38" s="62"/>
      <c r="U38" s="60"/>
      <c r="V38" s="61"/>
      <c r="W38" s="61"/>
      <c r="X38" s="61"/>
      <c r="Y38" s="62"/>
      <c r="Z38" s="8"/>
      <c r="AA38" s="8"/>
      <c r="AB38" s="8"/>
      <c r="AC38" s="8"/>
      <c r="AD38" s="8"/>
      <c r="AE38" s="8"/>
      <c r="AF38" s="8"/>
    </row>
    <row r="39" ht="12.75" customHeight="1">
      <c r="A39" s="55"/>
      <c r="B39" s="46"/>
      <c r="C39" s="47"/>
      <c r="D39" s="16"/>
      <c r="E39" s="17"/>
      <c r="F39" s="41"/>
      <c r="G39" s="42"/>
      <c r="H39" s="73"/>
      <c r="I39" s="69"/>
      <c r="J39" s="70"/>
      <c r="K39" s="42"/>
      <c r="L39" s="43"/>
      <c r="M39" s="41"/>
      <c r="N39" s="42"/>
      <c r="O39" s="42"/>
      <c r="P39" s="43"/>
      <c r="Q39" s="41"/>
      <c r="R39" s="42"/>
      <c r="S39" s="42"/>
      <c r="T39" s="43"/>
      <c r="U39" s="41"/>
      <c r="V39" s="42"/>
      <c r="W39" s="42"/>
      <c r="X39" s="42"/>
      <c r="Y39" s="43"/>
      <c r="Z39" s="8"/>
      <c r="AA39" s="8"/>
      <c r="AB39" s="8"/>
      <c r="AC39" s="8"/>
      <c r="AD39" s="8"/>
      <c r="AE39" s="8"/>
      <c r="AF39" s="8"/>
    </row>
    <row r="40" ht="12.75" customHeight="1">
      <c r="A40" s="55"/>
      <c r="B40" s="46"/>
      <c r="C40" s="47"/>
      <c r="D40" s="16"/>
      <c r="E40" s="17"/>
      <c r="F40" s="60" t="s">
        <v>38</v>
      </c>
      <c r="G40" s="61"/>
      <c r="H40" s="72"/>
      <c r="I40" s="67" t="s">
        <v>39</v>
      </c>
      <c r="J40" s="68" t="s">
        <v>38</v>
      </c>
      <c r="K40" s="61"/>
      <c r="L40" s="62"/>
      <c r="M40" s="60"/>
      <c r="N40" s="61"/>
      <c r="O40" s="61"/>
      <c r="P40" s="62"/>
      <c r="Q40" s="60"/>
      <c r="R40" s="61"/>
      <c r="S40" s="61"/>
      <c r="T40" s="62"/>
      <c r="U40" s="60"/>
      <c r="V40" s="61"/>
      <c r="W40" s="61"/>
      <c r="X40" s="61"/>
      <c r="Y40" s="62"/>
      <c r="Z40" s="8"/>
      <c r="AA40" s="8"/>
      <c r="AB40" s="8"/>
      <c r="AC40" s="8"/>
      <c r="AD40" s="8"/>
      <c r="AE40" s="8"/>
      <c r="AF40" s="8"/>
    </row>
    <row r="41" ht="12.75" customHeight="1">
      <c r="A41" s="55"/>
      <c r="B41" s="46"/>
      <c r="C41" s="47"/>
      <c r="D41" s="16"/>
      <c r="E41" s="17"/>
      <c r="F41" s="41"/>
      <c r="G41" s="42"/>
      <c r="H41" s="73"/>
      <c r="I41" s="69"/>
      <c r="J41" s="70"/>
      <c r="K41" s="42"/>
      <c r="L41" s="43"/>
      <c r="M41" s="41"/>
      <c r="N41" s="42"/>
      <c r="O41" s="42"/>
      <c r="P41" s="43"/>
      <c r="Q41" s="41"/>
      <c r="R41" s="42"/>
      <c r="S41" s="42"/>
      <c r="T41" s="43"/>
      <c r="U41" s="41"/>
      <c r="V41" s="42"/>
      <c r="W41" s="42"/>
      <c r="X41" s="42"/>
      <c r="Y41" s="43"/>
      <c r="Z41" s="8"/>
      <c r="AA41" s="8"/>
      <c r="AB41" s="8"/>
      <c r="AC41" s="8"/>
      <c r="AD41" s="8"/>
      <c r="AE41" s="8"/>
      <c r="AF41" s="8"/>
    </row>
    <row r="42" ht="12.75" customHeight="1">
      <c r="A42" s="55"/>
      <c r="B42" s="46"/>
      <c r="C42" s="47"/>
      <c r="D42" s="16"/>
      <c r="E42" s="17"/>
      <c r="F42" s="74" t="s">
        <v>40</v>
      </c>
      <c r="G42" s="25"/>
      <c r="H42" s="25"/>
      <c r="I42" s="25"/>
      <c r="J42" s="25"/>
      <c r="K42" s="25"/>
      <c r="L42" s="26"/>
      <c r="M42" s="74" t="s">
        <v>41</v>
      </c>
      <c r="N42" s="25"/>
      <c r="O42" s="25"/>
      <c r="P42" s="25"/>
      <c r="Q42" s="25"/>
      <c r="R42" s="25"/>
      <c r="S42" s="25"/>
      <c r="T42" s="26"/>
      <c r="U42" s="74" t="s">
        <v>42</v>
      </c>
      <c r="V42" s="25"/>
      <c r="W42" s="25"/>
      <c r="X42" s="25"/>
      <c r="Y42" s="26"/>
      <c r="Z42" s="8"/>
      <c r="AA42" s="8"/>
      <c r="AB42" s="8"/>
      <c r="AC42" s="8"/>
      <c r="AD42" s="8"/>
      <c r="AE42" s="8"/>
      <c r="AF42" s="8"/>
    </row>
    <row r="43" ht="12.75" customHeight="1">
      <c r="A43" s="55"/>
      <c r="B43" s="14"/>
      <c r="C43" s="47"/>
      <c r="D43" s="16"/>
      <c r="E43" s="17"/>
      <c r="F43" s="75">
        <v>45659.0</v>
      </c>
      <c r="G43" s="32"/>
      <c r="H43" s="32"/>
      <c r="I43" s="32"/>
      <c r="J43" s="32"/>
      <c r="K43" s="32"/>
      <c r="L43" s="33"/>
      <c r="M43" s="76"/>
      <c r="N43" s="32"/>
      <c r="O43" s="32"/>
      <c r="P43" s="32"/>
      <c r="Q43" s="32"/>
      <c r="R43" s="32"/>
      <c r="S43" s="32"/>
      <c r="T43" s="33"/>
      <c r="U43" s="77"/>
      <c r="V43" s="32"/>
      <c r="W43" s="32"/>
      <c r="X43" s="32"/>
      <c r="Y43" s="33"/>
      <c r="Z43" s="8"/>
      <c r="AA43" s="8"/>
      <c r="AB43" s="8"/>
      <c r="AC43" s="8"/>
      <c r="AD43" s="8"/>
      <c r="AE43" s="8"/>
      <c r="AF43" s="8"/>
    </row>
    <row r="44" ht="12.75" customHeight="1">
      <c r="A44" s="78"/>
      <c r="B44" s="79"/>
      <c r="C44" s="80"/>
      <c r="D44" s="81"/>
      <c r="E44" s="82"/>
      <c r="F44" s="41"/>
      <c r="G44" s="42"/>
      <c r="H44" s="42"/>
      <c r="I44" s="42"/>
      <c r="J44" s="42"/>
      <c r="K44" s="42"/>
      <c r="L44" s="43"/>
      <c r="M44" s="41"/>
      <c r="N44" s="42"/>
      <c r="O44" s="42"/>
      <c r="P44" s="42"/>
      <c r="Q44" s="42"/>
      <c r="R44" s="42"/>
      <c r="S44" s="42"/>
      <c r="T44" s="43"/>
      <c r="U44" s="41"/>
      <c r="V44" s="42"/>
      <c r="W44" s="42"/>
      <c r="X44" s="42"/>
      <c r="Y44" s="43"/>
      <c r="Z44" s="8"/>
      <c r="AA44" s="8"/>
      <c r="AB44" s="8"/>
      <c r="AC44" s="8"/>
      <c r="AD44" s="8"/>
      <c r="AE44" s="8"/>
      <c r="AF44" s="8"/>
    </row>
    <row r="45" ht="11.25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1.25" customHeight="1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1.25" customHeight="1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1.25" customHeight="1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1.25" customHeight="1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1.25" customHeight="1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1.25" customHeight="1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1.25" customHeight="1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1.25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1.25" customHeight="1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1.25" customHeight="1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1.25" customHeight="1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1.25" customHeight="1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1.25" customHeight="1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1.25" customHeight="1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1.25" customHeight="1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1.25" customHeight="1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1.25" customHeight="1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1.25" customHeight="1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1.25" customHeight="1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1.25" customHeight="1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1.25" customHeight="1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1.25" customHeight="1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1.25" customHeight="1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1.25" customHeight="1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1.25" customHeight="1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1.25" customHeight="1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1.25" customHeight="1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1.25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1.25" customHeight="1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1.25" customHeight="1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1.25" customHeight="1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1.25" customHeight="1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1.25" customHeight="1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1.25" customHeight="1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1.25" customHeight="1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1.25" customHeight="1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1.25" customHeight="1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1.25" customHeight="1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1.25" customHeight="1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1.25" customHeight="1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1.25" customHeight="1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1.25" customHeight="1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1.25" customHeight="1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1.25" customHeight="1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1.2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1.2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1.2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1.25" customHeight="1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1.25" customHeight="1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1.2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1.25" customHeight="1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1.25" customHeight="1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1.25" customHeight="1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1.25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1.25" customHeight="1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1.25" customHeight="1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1.25" customHeight="1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1.25" customHeight="1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1.25" customHeight="1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1.25" customHeight="1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1.25" customHeight="1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1.25" customHeight="1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1.25" customHeight="1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1.25" customHeight="1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1.25" customHeight="1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1.25" customHeight="1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1.25" customHeight="1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1.25" customHeight="1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1.25" customHeight="1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1.25" customHeight="1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1.2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1.25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1.25" customHeight="1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1.25" customHeight="1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1.2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1.25" customHeight="1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1.25" customHeight="1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1.25" customHeight="1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1.25" customHeight="1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1.25" customHeight="1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1.25" customHeight="1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1.25" customHeight="1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1.25" customHeight="1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1.25" customHeight="1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1.25" customHeight="1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1.25" customHeight="1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1.2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1.25" customHeight="1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1.2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1.2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1.2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1.2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1.2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1.2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1.2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1.2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1.2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1.2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1.2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1.2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1.2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1.2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1.2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1.2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1.2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1.2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1.2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1.2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1.2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1.2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1.2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1.2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1.2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1.2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1.2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1.2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1.2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1.2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1.2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1.25" customHeight="1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1.25" customHeight="1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1.25" customHeight="1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1.25" customHeight="1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1.25" customHeight="1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1.25" customHeight="1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1.25" customHeight="1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1.25" customHeight="1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1.25" customHeight="1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1.25" customHeight="1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1.25" customHeight="1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1.25" customHeight="1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1.25" customHeight="1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1.25" customHeight="1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1.25" customHeight="1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1.25" customHeight="1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1.25" customHeight="1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1.25" customHeight="1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1.25" customHeight="1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1.25" customHeight="1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1.25" customHeight="1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1.25" customHeight="1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1.25" customHeight="1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1.25" customHeight="1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1.25" customHeight="1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1.25" customHeight="1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1.25" customHeight="1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1.25" customHeight="1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1.25" customHeight="1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1.25" customHeight="1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1.25" customHeight="1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1.25" customHeight="1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1.25" customHeight="1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1.25" customHeight="1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1.25" customHeight="1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1.25" customHeight="1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1.25" customHeight="1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1.25" customHeight="1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1.25" customHeight="1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1.25" customHeight="1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1.25" customHeight="1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1.25" customHeight="1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1.25" customHeight="1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1.25" customHeight="1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1.25" customHeight="1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1.25" customHeight="1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1.25" customHeight="1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1.25" customHeight="1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1.25" customHeight="1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1.25" customHeight="1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1.25" customHeight="1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1.25" customHeight="1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1.25" customHeight="1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1.25" customHeight="1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1.25" customHeight="1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1.25" customHeight="1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1.25" customHeight="1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1.25" customHeight="1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1.25" customHeight="1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1.25" customHeight="1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1.25" customHeight="1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1.25" customHeight="1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1.25" customHeight="1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1.25" customHeight="1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1.25" customHeight="1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1.25" customHeight="1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1.25" customHeight="1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1.25" customHeight="1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1.25" customHeight="1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1.25" customHeight="1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1.25" customHeight="1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1.25" customHeight="1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1.25" customHeight="1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1.25" customHeight="1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1.25" customHeight="1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1.25" customHeight="1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1.25" customHeight="1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1.25" customHeight="1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1.25" customHeight="1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1.25" customHeight="1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1.25" customHeight="1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1.25" customHeight="1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1.25" customHeight="1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1.25" customHeight="1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1.25" customHeight="1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1.25" customHeight="1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1.25" customHeight="1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1.25" customHeight="1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1.25" customHeight="1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1.25" customHeight="1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1.25" customHeight="1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1.25" customHeight="1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1.25" customHeight="1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1.25" customHeight="1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1.25" customHeight="1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1.25" customHeight="1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1.25" customHeight="1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1.25" customHeight="1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1.25" customHeight="1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1.25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1.25" customHeight="1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1.25" customHeight="1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1.25" customHeight="1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1.25" customHeight="1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1.25" customHeight="1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1.25" customHeight="1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1.25" customHeight="1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1.25" customHeight="1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1.25" customHeight="1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1.25" customHeight="1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1.25" customHeight="1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1.25" customHeight="1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1.25" customHeight="1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1.25" customHeight="1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1.25" customHeight="1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1.25" customHeight="1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1.25" customHeight="1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1.25" customHeight="1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1.25" customHeight="1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1.25" customHeight="1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1.25" customHeight="1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1.25" customHeight="1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1.25" customHeight="1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1.25" customHeight="1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1.25" customHeight="1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1.25" customHeight="1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1.25" customHeight="1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1.25" customHeight="1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1.25" customHeight="1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1.25" customHeight="1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1.25" customHeight="1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1.25" customHeight="1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1.25" customHeight="1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1.25" customHeight="1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1.25" customHeight="1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1.25" customHeight="1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1.25" customHeight="1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1.25" customHeight="1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1.25" customHeight="1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1.25" customHeight="1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1.25" customHeight="1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1.25" customHeight="1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1.25" customHeight="1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1.25" customHeight="1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1.25" customHeight="1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1.25" customHeight="1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1.25" customHeight="1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1.25" customHeight="1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1.25" customHeight="1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1.25" customHeight="1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1.25" customHeight="1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1.25" customHeight="1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1.25" customHeight="1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1.25" customHeight="1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1.25" customHeight="1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1.25" customHeight="1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1.25" customHeight="1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1.25" customHeight="1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1.25" customHeight="1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1.25" customHeight="1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1.25" customHeight="1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1.25" customHeight="1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1.25" customHeight="1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1.25" customHeight="1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1.25" customHeight="1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1.25" customHeight="1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1.25" customHeight="1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1.25" customHeight="1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1.25" customHeight="1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1.25" customHeight="1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1.25" customHeight="1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1.25" customHeight="1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1.25" customHeight="1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1.25" customHeight="1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1.25" customHeight="1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1.25" customHeight="1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1.25" customHeight="1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1.25" customHeight="1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1.25" customHeight="1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1.25" customHeight="1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1.25" customHeight="1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1.25" customHeight="1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1.25" customHeight="1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1.25" customHeight="1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1.25" customHeight="1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1.25" customHeight="1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1.25" customHeight="1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1.25" customHeight="1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1.25" customHeight="1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1.25" customHeight="1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1.25" customHeight="1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1.25" customHeight="1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1.25" customHeight="1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1.25" customHeight="1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1.25" customHeight="1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1.25" customHeight="1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1.25" customHeight="1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1.25" customHeight="1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1.25" customHeight="1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1.25" customHeight="1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1.25" customHeight="1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1.25" customHeight="1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1.25" customHeight="1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1.25" customHeight="1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1.25" customHeight="1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1.25" customHeight="1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1.25" customHeight="1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1.25" customHeight="1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1.25" customHeight="1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1.25" customHeight="1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1.25" customHeight="1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1.25" customHeight="1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1.25" customHeight="1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1.25" customHeight="1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1.25" customHeight="1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1.25" customHeight="1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1.25" customHeight="1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1.25" customHeight="1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1.25" customHeight="1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1.25" customHeight="1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1.25" customHeight="1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1.25" customHeight="1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1.25" customHeight="1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1.25" customHeight="1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1.25" customHeight="1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1.25" customHeight="1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1.25" customHeight="1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1.25" customHeight="1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1.25" customHeight="1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1.25" customHeight="1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1.25" customHeight="1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1.25" customHeight="1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1.25" customHeight="1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1.25" customHeight="1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1.25" customHeight="1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1.25" customHeight="1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1.25" customHeight="1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1.25" customHeight="1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1.25" customHeight="1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1.25" customHeight="1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1.25" customHeight="1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1.25" customHeight="1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1.25" customHeight="1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1.25" customHeight="1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1.25" customHeight="1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1.25" customHeight="1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1.25" customHeight="1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1.25" customHeight="1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1.25" customHeight="1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1.25" customHeight="1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1.25" customHeight="1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1.25" customHeight="1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1.25" customHeight="1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1.25" customHeight="1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1.25" customHeight="1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1.25" customHeight="1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1.25" customHeight="1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1.25" customHeight="1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1.25" customHeight="1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1.25" customHeight="1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1.25" customHeight="1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1.25" customHeight="1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1.25" customHeight="1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1.25" customHeight="1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1.25" customHeight="1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1.25" customHeight="1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1.25" customHeight="1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1.25" customHeight="1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1.25" customHeight="1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1.25" customHeight="1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1.25" customHeight="1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1.25" customHeight="1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1.25" customHeight="1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1.25" customHeight="1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1.25" customHeight="1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1.25" customHeight="1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1.25" customHeight="1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1.25" customHeight="1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1.25" customHeight="1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1.25" customHeight="1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1.25" customHeight="1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1.25" customHeight="1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1.25" customHeight="1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1.25" customHeight="1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1.25" customHeight="1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1.25" customHeight="1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1.25" customHeight="1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1.25" customHeight="1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1.25" customHeight="1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1.25" customHeight="1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1.25" customHeight="1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1.25" customHeight="1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1.25" customHeight="1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1.25" customHeight="1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1.25" customHeight="1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1.25" customHeight="1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1.25" customHeight="1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1.25" customHeight="1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1.25" customHeight="1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1.25" customHeight="1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1.25" customHeight="1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1.25" customHeight="1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1.25" customHeight="1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1.25" customHeight="1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1.25" customHeight="1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1.25" customHeight="1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1.25" customHeight="1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1.25" customHeight="1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1.25" customHeight="1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1.25" customHeight="1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1.25" customHeight="1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1.25" customHeight="1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1.25" customHeight="1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1.25" customHeight="1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1.25" customHeight="1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1.25" customHeight="1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1.25" customHeight="1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1.25" customHeight="1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1.25" customHeight="1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1.25" customHeight="1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1.25" customHeight="1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1.25" customHeight="1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1.25" customHeight="1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1.25" customHeight="1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1.25" customHeight="1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1.25" customHeight="1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1.25" customHeight="1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1.25" customHeight="1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1.25" customHeight="1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1.25" customHeight="1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1.25" customHeight="1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1.25" customHeight="1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1.25" customHeight="1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1.25" customHeight="1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1.25" customHeight="1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1.25" customHeight="1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1.25" customHeight="1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1.25" customHeight="1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1.25" customHeight="1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1.25" customHeight="1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1.25" customHeight="1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1.25" customHeight="1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1.25" customHeight="1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1.25" customHeight="1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1.25" customHeight="1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1.25" customHeight="1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1.25" customHeight="1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1.25" customHeight="1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1.25" customHeight="1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1.25" customHeight="1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1.25" customHeight="1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1.25" customHeight="1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1.25" customHeight="1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1.25" customHeight="1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1.25" customHeight="1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1.25" customHeight="1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1.25" customHeight="1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1.25" customHeight="1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1.25" customHeight="1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1.25" customHeight="1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1.25" customHeight="1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1.25" customHeight="1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1.25" customHeight="1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1.25" customHeight="1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1.25" customHeight="1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1.25" customHeight="1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1.25" customHeight="1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1.25" customHeight="1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1.25" customHeight="1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1.25" customHeight="1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1.25" customHeight="1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1.25" customHeight="1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1.25" customHeight="1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1.25" customHeight="1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1.25" customHeight="1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1.25" customHeight="1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1.25" customHeight="1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1.25" customHeight="1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1.25" customHeight="1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1.25" customHeight="1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1.25" customHeight="1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1.25" customHeight="1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1.25" customHeight="1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1.25" customHeight="1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1.25" customHeight="1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1.25" customHeight="1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1.25" customHeight="1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1.25" customHeight="1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1.25" customHeight="1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1.25" customHeight="1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1.25" customHeight="1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1.25" customHeight="1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1.25" customHeight="1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1.25" customHeight="1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1.25" customHeight="1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1.25" customHeight="1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1.25" customHeight="1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1.25" customHeight="1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1.25" customHeight="1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1.25" customHeight="1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1.25" customHeight="1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1.25" customHeight="1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1.25" customHeight="1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1.25" customHeight="1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1.25" customHeight="1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1.25" customHeight="1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1.25" customHeight="1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1.25" customHeight="1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1.25" customHeight="1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1.25" customHeight="1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1.25" customHeight="1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1.25" customHeight="1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1.25" customHeight="1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1.25" customHeight="1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1.25" customHeight="1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1.25" customHeight="1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1.25" customHeight="1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1.25" customHeight="1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1.25" customHeight="1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1.25" customHeight="1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1.25" customHeight="1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1.25" customHeight="1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1.25" customHeight="1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1.25" customHeight="1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1.25" customHeight="1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1.25" customHeight="1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1.25" customHeight="1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1.25" customHeight="1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1.25" customHeight="1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1.25" customHeight="1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1.25" customHeight="1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1.25" customHeight="1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1.25" customHeight="1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1.25" customHeight="1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1.25" customHeight="1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1.25" customHeight="1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1.25" customHeight="1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1.25" customHeight="1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1.25" customHeight="1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1.25" customHeight="1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1.25" customHeight="1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1.25" customHeight="1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1.25" customHeight="1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1.25" customHeight="1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1.25" customHeight="1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1.25" customHeight="1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1.25" customHeight="1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1.25" customHeight="1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1.25" customHeight="1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1.25" customHeight="1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1.25" customHeight="1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1.25" customHeight="1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1.25" customHeight="1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1.25" customHeight="1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1.25" customHeight="1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1.25" customHeight="1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1.25" customHeight="1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1.25" customHeight="1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1.25" customHeight="1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1.25" customHeight="1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1.25" customHeight="1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1.25" customHeight="1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1.25" customHeight="1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1.25" customHeight="1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1.25" customHeight="1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1.25" customHeight="1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1.25" customHeight="1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1.25" customHeight="1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1.25" customHeight="1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1.25" customHeight="1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1.25" customHeight="1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1.25" customHeight="1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1.25" customHeight="1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1.25" customHeight="1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1.25" customHeight="1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1.25" customHeight="1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1.25" customHeight="1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1.25" customHeight="1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1.25" customHeight="1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1.25" customHeight="1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1.25" customHeight="1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1.25" customHeight="1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1.25" customHeight="1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1.25" customHeight="1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1.25" customHeight="1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1.25" customHeight="1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1.25" customHeight="1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1.25" customHeight="1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1.25" customHeight="1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1.25" customHeight="1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1.25" customHeight="1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1.25" customHeight="1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1.25" customHeight="1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1.25" customHeight="1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1.25" customHeight="1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1.25" customHeight="1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1.25" customHeight="1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1.25" customHeight="1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1.25" customHeight="1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1.25" customHeight="1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1.25" customHeight="1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1.25" customHeight="1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1.25" customHeight="1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1.25" customHeight="1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1.25" customHeight="1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1.25" customHeight="1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1.25" customHeight="1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1.25" customHeight="1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1.25" customHeight="1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1.25" customHeight="1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1.25" customHeight="1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1.25" customHeight="1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1.25" customHeight="1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1.25" customHeight="1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1.25" customHeight="1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1.25" customHeight="1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1.25" customHeight="1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1.25" customHeight="1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1.25" customHeight="1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1.25" customHeight="1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1.25" customHeight="1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1.25" customHeight="1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1.25" customHeight="1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1.25" customHeight="1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1.25" customHeight="1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1.25" customHeight="1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1.25" customHeight="1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1.25" customHeight="1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1.25" customHeight="1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1.25" customHeight="1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1.25" customHeight="1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1.25" customHeight="1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1.25" customHeight="1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1.25" customHeight="1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1.25" customHeight="1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1.25" customHeight="1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1.25" customHeight="1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1.25" customHeight="1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1.25" customHeight="1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1.25" customHeight="1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1.25" customHeight="1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1.25" customHeight="1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1.25" customHeight="1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1.25" customHeight="1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1.25" customHeight="1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1.25" customHeight="1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1.25" customHeight="1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1.25" customHeight="1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1.25" customHeight="1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1.25" customHeight="1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1.25" customHeight="1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1.25" customHeight="1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1.25" customHeight="1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1.25" customHeight="1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1.25" customHeight="1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1.25" customHeight="1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1.25" customHeight="1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1.25" customHeight="1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1.25" customHeight="1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1.25" customHeight="1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1.25" customHeight="1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1.25" customHeight="1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1.25" customHeight="1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1.25" customHeight="1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1.25" customHeight="1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1.25" customHeight="1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1.25" customHeight="1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1.25" customHeight="1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1.25" customHeight="1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1.25" customHeight="1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1.25" customHeight="1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1.25" customHeight="1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1.25" customHeight="1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1.25" customHeight="1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1.25" customHeight="1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1.25" customHeight="1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1.25" customHeight="1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1.25" customHeight="1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1.25" customHeight="1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1.25" customHeight="1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1.25" customHeight="1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1.25" customHeight="1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1.25" customHeight="1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1.25" customHeight="1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1.25" customHeight="1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1.25" customHeight="1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1.25" customHeight="1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1.25" customHeight="1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1.25" customHeight="1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1.25" customHeight="1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1.25" customHeight="1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1.25" customHeight="1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1.25" customHeight="1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1.25" customHeight="1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1.25" customHeight="1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1.25" customHeight="1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1.25" customHeight="1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1.25" customHeight="1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1.25" customHeight="1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1.25" customHeight="1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1.25" customHeight="1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1.25" customHeight="1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1.25" customHeight="1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1.25" customHeight="1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1.25" customHeight="1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1.25" customHeight="1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1.25" customHeight="1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1.25" customHeight="1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1.25" customHeight="1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1.25" customHeight="1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1.25" customHeight="1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1.25" customHeight="1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1.25" customHeight="1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1.25" customHeight="1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1.25" customHeight="1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1.25" customHeight="1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1.25" customHeight="1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1.25" customHeight="1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1.25" customHeight="1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1.25" customHeight="1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1.25" customHeight="1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1.25" customHeight="1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1.25" customHeight="1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1.25" customHeight="1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1.25" customHeight="1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1.25" customHeight="1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1.25" customHeight="1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1.25" customHeight="1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1.25" customHeight="1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1.25" customHeight="1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1.25" customHeight="1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1.25" customHeight="1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1.25" customHeight="1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1.25" customHeight="1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1.25" customHeight="1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1.25" customHeight="1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1.25" customHeight="1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1.25" customHeight="1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1.25" customHeight="1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1.25" customHeight="1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1.25" customHeight="1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1.25" customHeight="1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1.25" customHeight="1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1.25" customHeight="1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1.25" customHeight="1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1.25" customHeight="1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1.25" customHeight="1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1.25" customHeight="1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1.25" customHeight="1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1.25" customHeight="1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1.25" customHeight="1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1.25" customHeight="1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1.25" customHeight="1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1.25" customHeight="1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1.25" customHeight="1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1.25" customHeight="1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1.25" customHeight="1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1.25" customHeight="1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1.25" customHeight="1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1.25" customHeight="1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1.25" customHeight="1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1.25" customHeight="1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1.25" customHeight="1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1.25" customHeight="1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1.25" customHeight="1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1.25" customHeight="1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1.25" customHeight="1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1.25" customHeight="1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1.25" customHeight="1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1.25" customHeight="1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1.25" customHeight="1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1.25" customHeight="1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1.25" customHeight="1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1.25" customHeight="1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1.25" customHeight="1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1.25" customHeight="1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1.25" customHeight="1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1.25" customHeight="1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1.25" customHeight="1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1.25" customHeight="1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1.25" customHeight="1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1.25" customHeight="1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1.25" customHeight="1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1.25" customHeight="1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1.25" customHeight="1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1.25" customHeight="1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1.25" customHeight="1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1.25" customHeight="1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1.25" customHeight="1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1.25" customHeight="1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1.25" customHeight="1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1.25" customHeight="1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1.25" customHeight="1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1.25" customHeight="1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1.25" customHeight="1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1.25" customHeight="1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1.25" customHeight="1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1.25" customHeight="1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1.25" customHeight="1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1.25" customHeight="1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1.25" customHeight="1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1.25" customHeight="1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1.25" customHeight="1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1.25" customHeight="1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1.25" customHeight="1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1.25" customHeight="1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1.25" customHeight="1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1.25" customHeight="1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1.25" customHeight="1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1.25" customHeight="1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1.25" customHeight="1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1.25" customHeight="1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1.25" customHeight="1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1.25" customHeight="1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1.25" customHeight="1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1.25" customHeight="1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1.25" customHeight="1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1.25" customHeight="1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1.25" customHeight="1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1.25" customHeight="1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1.25" customHeight="1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1.25" customHeight="1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1.25" customHeight="1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1.25" customHeight="1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1.25" customHeight="1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1.25" customHeight="1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1.25" customHeight="1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1.25" customHeight="1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1.25" customHeight="1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1.25" customHeight="1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1.25" customHeight="1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1.25" customHeight="1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1.25" customHeight="1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1.25" customHeight="1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1.25" customHeight="1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1.25" customHeight="1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1.25" customHeight="1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1.25" customHeight="1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1.25" customHeight="1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1.25" customHeight="1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1.25" customHeight="1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1.25" customHeight="1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1.25" customHeight="1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1.25" customHeight="1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1.25" customHeight="1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1.25" customHeight="1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1.25" customHeight="1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1.25" customHeight="1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1.25" customHeight="1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1.25" customHeight="1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1.25" customHeight="1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1.25" customHeight="1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1.25" customHeight="1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1.25" customHeight="1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1.25" customHeight="1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1.25" customHeight="1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1.25" customHeight="1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1.25" customHeight="1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1.25" customHeight="1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1.25" customHeight="1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1.25" customHeight="1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1.25" customHeight="1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1.25" customHeight="1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1.25" customHeight="1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1.25" customHeight="1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1.25" customHeight="1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1.25" customHeight="1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1.25" customHeight="1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1.25" customHeight="1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1.25" customHeight="1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1.25" customHeight="1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1.25" customHeight="1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1.25" customHeight="1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1.25" customHeight="1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1.25" customHeight="1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1.25" customHeight="1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1.25" customHeight="1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1.25" customHeight="1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1.25" customHeight="1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1.25" customHeight="1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1.25" customHeight="1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1.25" customHeight="1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1.25" customHeight="1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1.25" customHeight="1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1.25" customHeight="1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1.25" customHeight="1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1.25" customHeight="1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1.25" customHeight="1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1.25" customHeight="1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1.25" customHeight="1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1.25" customHeight="1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1.25" customHeight="1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1.25" customHeight="1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1.25" customHeight="1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1.25" customHeight="1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1.25" customHeight="1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1.25" customHeight="1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1.25" customHeight="1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1.25" customHeight="1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1.25" customHeight="1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1.25" customHeight="1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1.25" customHeight="1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1.25" customHeight="1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1.25" customHeight="1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1.25" customHeight="1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1.25" customHeight="1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1.25" customHeight="1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1.25" customHeight="1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1.25" customHeight="1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1.25" customHeight="1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1.25" customHeight="1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1.25" customHeight="1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1.25" customHeight="1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1.25" customHeight="1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1.25" customHeight="1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1.25" customHeight="1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1.25" customHeight="1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1.25" customHeight="1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1.25" customHeight="1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1.25" customHeight="1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1.25" customHeight="1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1.25" customHeight="1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1.25" customHeight="1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1.25" customHeight="1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1.25" customHeight="1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1.25" customHeight="1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1.25" customHeight="1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1.25" customHeight="1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1.25" customHeight="1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1.25" customHeight="1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1.25" customHeight="1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1.25" customHeight="1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1.25" customHeight="1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1.25" customHeight="1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1.25" customHeight="1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1.25" customHeight="1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77">
    <mergeCell ref="J6:M6"/>
    <mergeCell ref="N6:R6"/>
    <mergeCell ref="S6:V6"/>
    <mergeCell ref="W6:Y6"/>
    <mergeCell ref="F7:I7"/>
    <mergeCell ref="J7:M8"/>
    <mergeCell ref="F8:I8"/>
    <mergeCell ref="N7:R8"/>
    <mergeCell ref="S7:V8"/>
    <mergeCell ref="F10:Y10"/>
    <mergeCell ref="F11:Y11"/>
    <mergeCell ref="F12:Y12"/>
    <mergeCell ref="F13:K13"/>
    <mergeCell ref="F14:K15"/>
    <mergeCell ref="L14:Y14"/>
    <mergeCell ref="W7:Y8"/>
    <mergeCell ref="F9:Y9"/>
    <mergeCell ref="L15:Y15"/>
    <mergeCell ref="F16:K16"/>
    <mergeCell ref="L16:X16"/>
    <mergeCell ref="F17:K18"/>
    <mergeCell ref="L17:X17"/>
    <mergeCell ref="L18:X18"/>
    <mergeCell ref="F19:K19"/>
    <mergeCell ref="L19:Y19"/>
    <mergeCell ref="F20:K20"/>
    <mergeCell ref="L20:Y20"/>
    <mergeCell ref="F28:Y29"/>
    <mergeCell ref="F30:L31"/>
    <mergeCell ref="M30:P31"/>
    <mergeCell ref="Q30:T31"/>
    <mergeCell ref="U30:Y31"/>
    <mergeCell ref="F32:H33"/>
    <mergeCell ref="I32:I33"/>
    <mergeCell ref="J32:L33"/>
    <mergeCell ref="M32:P33"/>
    <mergeCell ref="Q32:T33"/>
    <mergeCell ref="U32:Y33"/>
    <mergeCell ref="F34:H35"/>
    <mergeCell ref="I34:I35"/>
    <mergeCell ref="J34:L35"/>
    <mergeCell ref="M34:P35"/>
    <mergeCell ref="Q34:T35"/>
    <mergeCell ref="U34:Y35"/>
    <mergeCell ref="F36:H37"/>
    <mergeCell ref="I36:I37"/>
    <mergeCell ref="J36:L37"/>
    <mergeCell ref="M36:P37"/>
    <mergeCell ref="F21:Y21"/>
    <mergeCell ref="F22:Y27"/>
    <mergeCell ref="F42:L42"/>
    <mergeCell ref="M42:T42"/>
    <mergeCell ref="U42:Y42"/>
    <mergeCell ref="F43:L44"/>
    <mergeCell ref="M43:T44"/>
    <mergeCell ref="U43:Y44"/>
    <mergeCell ref="D2:D44"/>
    <mergeCell ref="E2:E44"/>
    <mergeCell ref="K2:W2"/>
    <mergeCell ref="L3:R3"/>
    <mergeCell ref="F4:Y4"/>
    <mergeCell ref="F5:Y5"/>
    <mergeCell ref="F6:I6"/>
    <mergeCell ref="Q36:T37"/>
    <mergeCell ref="U36:Y37"/>
    <mergeCell ref="F38:H39"/>
    <mergeCell ref="I38:I39"/>
    <mergeCell ref="J38:L39"/>
    <mergeCell ref="M38:P39"/>
    <mergeCell ref="Q38:T39"/>
    <mergeCell ref="U38:Y39"/>
    <mergeCell ref="F40:H41"/>
    <mergeCell ref="I40:I41"/>
    <mergeCell ref="J40:L41"/>
    <mergeCell ref="M40:P41"/>
    <mergeCell ref="Q40:T41"/>
    <mergeCell ref="U40:Y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9.75"/>
    <col customWidth="1" min="3" max="3" width="4.75"/>
    <col customWidth="1" min="4" max="43" width="2.13"/>
    <col customWidth="1" min="44" max="44" width="5.75"/>
    <col customWidth="1" min="45" max="45" width="4.75"/>
    <col customWidth="1" min="46" max="46" width="5.75"/>
    <col customWidth="1" min="47" max="47" width="6.75"/>
    <col customWidth="1" min="48" max="48" width="3.25"/>
    <col customWidth="1" min="49" max="49" width="14.75"/>
    <col customWidth="1" min="50" max="50" width="13.38"/>
    <col customWidth="1" min="51" max="51" width="2.63"/>
    <col customWidth="1" min="52" max="52" width="3.0"/>
    <col customWidth="1" min="53" max="53" width="13.13"/>
    <col customWidth="1" min="54" max="54" width="3.0"/>
    <col customWidth="1" min="55" max="55" width="16.25"/>
  </cols>
  <sheetData>
    <row r="1" ht="12.75" customHeight="1">
      <c r="A1" s="3"/>
      <c r="B1" s="3"/>
      <c r="C1" s="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3"/>
      <c r="AS1" s="3"/>
      <c r="AT1" s="3"/>
      <c r="AU1" s="3"/>
      <c r="AV1" s="3"/>
      <c r="AW1" s="84"/>
      <c r="AX1" s="85"/>
      <c r="AY1" s="3"/>
      <c r="AZ1" s="3"/>
      <c r="BA1" s="3"/>
      <c r="BB1" s="3"/>
      <c r="BC1" s="3"/>
    </row>
    <row r="2" ht="12.75" customHeight="1">
      <c r="A2" s="86" t="s">
        <v>43</v>
      </c>
      <c r="B2" s="87" t="s">
        <v>44</v>
      </c>
      <c r="C2" s="88" t="s">
        <v>45</v>
      </c>
      <c r="D2" s="89" t="s">
        <v>46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1"/>
      <c r="T2" s="89" t="s">
        <v>47</v>
      </c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1"/>
      <c r="AJ2" s="89" t="s">
        <v>48</v>
      </c>
      <c r="AK2" s="90"/>
      <c r="AL2" s="90"/>
      <c r="AM2" s="90"/>
      <c r="AN2" s="90"/>
      <c r="AO2" s="90"/>
      <c r="AP2" s="90"/>
      <c r="AQ2" s="91"/>
      <c r="AR2" s="92" t="s">
        <v>49</v>
      </c>
      <c r="AS2" s="93" t="s">
        <v>50</v>
      </c>
      <c r="AT2" s="93" t="s">
        <v>51</v>
      </c>
      <c r="AU2" s="93" t="s">
        <v>52</v>
      </c>
      <c r="AV2" s="3"/>
      <c r="AW2" s="94" t="s">
        <v>53</v>
      </c>
      <c r="AX2" s="95" t="s">
        <v>54</v>
      </c>
      <c r="AY2" s="3"/>
      <c r="AZ2" s="3"/>
      <c r="BA2" s="95" t="s">
        <v>55</v>
      </c>
      <c r="BB2" s="3"/>
      <c r="BC2" s="95" t="s">
        <v>56</v>
      </c>
    </row>
    <row r="3" ht="12.75" customHeight="1">
      <c r="A3" s="96"/>
      <c r="B3" s="69"/>
      <c r="C3" s="97" t="s">
        <v>57</v>
      </c>
      <c r="D3" s="98">
        <v>1.0</v>
      </c>
      <c r="E3" s="98">
        <v>1.0</v>
      </c>
      <c r="F3" s="98">
        <v>1.0</v>
      </c>
      <c r="G3" s="98">
        <v>1.0</v>
      </c>
      <c r="H3" s="98">
        <v>8.0</v>
      </c>
      <c r="I3" s="98">
        <v>8.0</v>
      </c>
      <c r="J3" s="98">
        <v>8.0</v>
      </c>
      <c r="K3" s="98">
        <v>8.0</v>
      </c>
      <c r="L3" s="98">
        <v>15.0</v>
      </c>
      <c r="M3" s="98">
        <v>15.0</v>
      </c>
      <c r="N3" s="98">
        <v>15.0</v>
      </c>
      <c r="O3" s="98">
        <v>15.0</v>
      </c>
      <c r="P3" s="98">
        <v>22.0</v>
      </c>
      <c r="Q3" s="98">
        <v>22.0</v>
      </c>
      <c r="R3" s="98">
        <v>22.0</v>
      </c>
      <c r="S3" s="98">
        <v>22.0</v>
      </c>
      <c r="T3" s="98">
        <v>8.0</v>
      </c>
      <c r="U3" s="98">
        <v>8.0</v>
      </c>
      <c r="V3" s="98">
        <v>8.0</v>
      </c>
      <c r="W3" s="98">
        <v>8.0</v>
      </c>
      <c r="X3" s="98">
        <v>15.0</v>
      </c>
      <c r="Y3" s="98">
        <v>15.0</v>
      </c>
      <c r="Z3" s="98">
        <v>15.0</v>
      </c>
      <c r="AA3" s="98">
        <v>15.0</v>
      </c>
      <c r="AB3" s="98">
        <v>22.0</v>
      </c>
      <c r="AC3" s="98">
        <v>22.0</v>
      </c>
      <c r="AD3" s="98">
        <v>22.0</v>
      </c>
      <c r="AE3" s="98">
        <v>22.0</v>
      </c>
      <c r="AF3" s="98">
        <v>29.0</v>
      </c>
      <c r="AG3" s="98">
        <v>29.0</v>
      </c>
      <c r="AH3" s="98">
        <v>29.0</v>
      </c>
      <c r="AI3" s="98">
        <v>29.0</v>
      </c>
      <c r="AJ3" s="98">
        <v>5.0</v>
      </c>
      <c r="AK3" s="98">
        <v>5.0</v>
      </c>
      <c r="AL3" s="98">
        <v>5.0</v>
      </c>
      <c r="AM3" s="98">
        <v>5.0</v>
      </c>
      <c r="AN3" s="98">
        <v>12.0</v>
      </c>
      <c r="AO3" s="98">
        <v>12.0</v>
      </c>
      <c r="AP3" s="98">
        <v>12.0</v>
      </c>
      <c r="AQ3" s="98">
        <v>12.0</v>
      </c>
      <c r="AR3" s="43"/>
      <c r="AS3" s="99"/>
      <c r="AT3" s="99"/>
      <c r="AU3" s="99"/>
      <c r="AV3" s="3"/>
      <c r="AW3" s="99"/>
      <c r="AX3" s="99"/>
      <c r="AY3" s="3"/>
      <c r="AZ3" s="3"/>
      <c r="BA3" s="99"/>
      <c r="BB3" s="3"/>
      <c r="BC3" s="99"/>
    </row>
    <row r="4" ht="12.75" customHeight="1">
      <c r="A4" s="100">
        <v>1.0</v>
      </c>
      <c r="B4" s="101" t="s">
        <v>58</v>
      </c>
      <c r="C4" s="102"/>
      <c r="D4" s="103" t="s">
        <v>59</v>
      </c>
      <c r="E4" s="103" t="s">
        <v>59</v>
      </c>
      <c r="F4" s="103" t="s">
        <v>59</v>
      </c>
      <c r="G4" s="103" t="s">
        <v>59</v>
      </c>
      <c r="H4" s="103" t="s">
        <v>59</v>
      </c>
      <c r="I4" s="103" t="s">
        <v>59</v>
      </c>
      <c r="J4" s="103" t="s">
        <v>59</v>
      </c>
      <c r="K4" s="103" t="s">
        <v>59</v>
      </c>
      <c r="L4" s="103" t="s">
        <v>60</v>
      </c>
      <c r="M4" s="103" t="s">
        <v>60</v>
      </c>
      <c r="N4" s="103" t="s">
        <v>60</v>
      </c>
      <c r="O4" s="103" t="s">
        <v>60</v>
      </c>
      <c r="P4" s="103" t="s">
        <v>59</v>
      </c>
      <c r="Q4" s="103" t="s">
        <v>59</v>
      </c>
      <c r="R4" s="103" t="s">
        <v>59</v>
      </c>
      <c r="S4" s="103" t="s">
        <v>59</v>
      </c>
      <c r="T4" s="103" t="s">
        <v>60</v>
      </c>
      <c r="U4" s="103" t="s">
        <v>60</v>
      </c>
      <c r="V4" s="103" t="s">
        <v>60</v>
      </c>
      <c r="W4" s="103" t="s">
        <v>60</v>
      </c>
      <c r="X4" s="103" t="s">
        <v>59</v>
      </c>
      <c r="Y4" s="103" t="s">
        <v>59</v>
      </c>
      <c r="Z4" s="103" t="s">
        <v>59</v>
      </c>
      <c r="AA4" s="103" t="s">
        <v>59</v>
      </c>
      <c r="AB4" s="103" t="s">
        <v>60</v>
      </c>
      <c r="AC4" s="103" t="s">
        <v>60</v>
      </c>
      <c r="AD4" s="103" t="s">
        <v>60</v>
      </c>
      <c r="AE4" s="103" t="s">
        <v>60</v>
      </c>
      <c r="AF4" s="103" t="s">
        <v>60</v>
      </c>
      <c r="AG4" s="103" t="s">
        <v>60</v>
      </c>
      <c r="AH4" s="103" t="s">
        <v>60</v>
      </c>
      <c r="AI4" s="103" t="s">
        <v>60</v>
      </c>
      <c r="AJ4" s="103" t="s">
        <v>60</v>
      </c>
      <c r="AK4" s="103" t="s">
        <v>60</v>
      </c>
      <c r="AL4" s="103" t="s">
        <v>60</v>
      </c>
      <c r="AM4" s="103" t="s">
        <v>60</v>
      </c>
      <c r="AN4" s="103" t="s">
        <v>60</v>
      </c>
      <c r="AO4" s="103" t="s">
        <v>60</v>
      </c>
      <c r="AP4" s="103" t="s">
        <v>60</v>
      </c>
      <c r="AQ4" s="103" t="s">
        <v>60</v>
      </c>
      <c r="AR4" s="104">
        <f t="shared" ref="AR4:AR27" si="1">COUNTIF(D4:AQ4,"|")</f>
        <v>24</v>
      </c>
      <c r="AS4" s="104"/>
      <c r="AT4" s="104">
        <v>1.0</v>
      </c>
      <c r="AU4" s="105"/>
      <c r="AV4" s="3"/>
      <c r="AW4" s="106">
        <f>IF(AR4=" "," ",AR4/BC4)</f>
        <v>0.15</v>
      </c>
      <c r="AX4" s="97" t="str">
        <f t="shared" ref="AX4:AX34" si="2">IF(AW4&gt;25%,"ESTOURADO","NORMAL ")</f>
        <v>NORMAL </v>
      </c>
      <c r="AY4" s="3"/>
      <c r="AZ4" s="3"/>
      <c r="BA4" s="106">
        <f>AVERAGE(AW4:AW34)</f>
        <v>0.04516129032</v>
      </c>
      <c r="BB4" s="3"/>
      <c r="BC4" s="97">
        <v>160.0</v>
      </c>
    </row>
    <row r="5" ht="12.75" customHeight="1">
      <c r="A5" s="100">
        <v>2.0</v>
      </c>
      <c r="B5" s="101" t="s">
        <v>61</v>
      </c>
      <c r="C5" s="107"/>
      <c r="D5" s="103" t="s">
        <v>59</v>
      </c>
      <c r="E5" s="103" t="s">
        <v>59</v>
      </c>
      <c r="F5" s="103" t="s">
        <v>59</v>
      </c>
      <c r="G5" s="103" t="s">
        <v>59</v>
      </c>
      <c r="H5" s="103" t="s">
        <v>59</v>
      </c>
      <c r="I5" s="103" t="s">
        <v>59</v>
      </c>
      <c r="J5" s="103" t="s">
        <v>59</v>
      </c>
      <c r="K5" s="103" t="s">
        <v>59</v>
      </c>
      <c r="L5" s="103" t="s">
        <v>59</v>
      </c>
      <c r="M5" s="103" t="s">
        <v>59</v>
      </c>
      <c r="N5" s="103" t="s">
        <v>59</v>
      </c>
      <c r="O5" s="103" t="s">
        <v>59</v>
      </c>
      <c r="P5" s="103" t="s">
        <v>59</v>
      </c>
      <c r="Q5" s="103" t="s">
        <v>59</v>
      </c>
      <c r="R5" s="103" t="s">
        <v>59</v>
      </c>
      <c r="S5" s="103" t="s">
        <v>59</v>
      </c>
      <c r="T5" s="103" t="s">
        <v>60</v>
      </c>
      <c r="U5" s="103" t="s">
        <v>60</v>
      </c>
      <c r="V5" s="103" t="s">
        <v>60</v>
      </c>
      <c r="W5" s="103" t="s">
        <v>60</v>
      </c>
      <c r="X5" s="103" t="s">
        <v>59</v>
      </c>
      <c r="Y5" s="103" t="s">
        <v>59</v>
      </c>
      <c r="Z5" s="103" t="s">
        <v>59</v>
      </c>
      <c r="AA5" s="103" t="s">
        <v>59</v>
      </c>
      <c r="AB5" s="103" t="s">
        <v>59</v>
      </c>
      <c r="AC5" s="103" t="s">
        <v>59</v>
      </c>
      <c r="AD5" s="103" t="s">
        <v>59</v>
      </c>
      <c r="AE5" s="103" t="s">
        <v>59</v>
      </c>
      <c r="AF5" s="103" t="s">
        <v>59</v>
      </c>
      <c r="AG5" s="103" t="s">
        <v>59</v>
      </c>
      <c r="AH5" s="103" t="s">
        <v>59</v>
      </c>
      <c r="AI5" s="103" t="s">
        <v>59</v>
      </c>
      <c r="AJ5" s="103" t="s">
        <v>59</v>
      </c>
      <c r="AK5" s="103" t="s">
        <v>59</v>
      </c>
      <c r="AL5" s="103" t="s">
        <v>59</v>
      </c>
      <c r="AM5" s="103" t="s">
        <v>59</v>
      </c>
      <c r="AN5" s="103" t="s">
        <v>59</v>
      </c>
      <c r="AO5" s="103" t="s">
        <v>59</v>
      </c>
      <c r="AP5" s="103" t="s">
        <v>59</v>
      </c>
      <c r="AQ5" s="103" t="s">
        <v>59</v>
      </c>
      <c r="AR5" s="104">
        <f t="shared" si="1"/>
        <v>4</v>
      </c>
      <c r="AS5" s="104"/>
      <c r="AT5" s="104">
        <v>2.0</v>
      </c>
      <c r="AU5" s="105"/>
      <c r="AV5" s="3"/>
      <c r="AW5" s="106">
        <f>IF(AR5=" "," ",AR5/BC4)</f>
        <v>0.025</v>
      </c>
      <c r="AX5" s="97" t="str">
        <f t="shared" si="2"/>
        <v>NORMAL </v>
      </c>
      <c r="AY5" s="3"/>
      <c r="AZ5" s="3"/>
      <c r="BA5" s="3"/>
      <c r="BB5" s="3"/>
      <c r="BC5" s="3"/>
    </row>
    <row r="6" ht="12.75" customHeight="1">
      <c r="A6" s="108">
        <v>3.0</v>
      </c>
      <c r="B6" s="101" t="s">
        <v>62</v>
      </c>
      <c r="C6" s="107"/>
      <c r="D6" s="103" t="s">
        <v>59</v>
      </c>
      <c r="E6" s="103" t="s">
        <v>59</v>
      </c>
      <c r="F6" s="103" t="s">
        <v>59</v>
      </c>
      <c r="G6" s="103" t="s">
        <v>59</v>
      </c>
      <c r="H6" s="103" t="s">
        <v>59</v>
      </c>
      <c r="I6" s="103" t="s">
        <v>59</v>
      </c>
      <c r="J6" s="103" t="s">
        <v>59</v>
      </c>
      <c r="K6" s="103" t="s">
        <v>59</v>
      </c>
      <c r="L6" s="103" t="s">
        <v>59</v>
      </c>
      <c r="M6" s="103" t="s">
        <v>59</v>
      </c>
      <c r="N6" s="103" t="s">
        <v>59</v>
      </c>
      <c r="O6" s="103" t="s">
        <v>59</v>
      </c>
      <c r="P6" s="103" t="s">
        <v>59</v>
      </c>
      <c r="Q6" s="103" t="s">
        <v>59</v>
      </c>
      <c r="R6" s="103" t="s">
        <v>59</v>
      </c>
      <c r="S6" s="103" t="s">
        <v>59</v>
      </c>
      <c r="T6" s="103" t="s">
        <v>60</v>
      </c>
      <c r="U6" s="103" t="s">
        <v>60</v>
      </c>
      <c r="V6" s="103" t="s">
        <v>60</v>
      </c>
      <c r="W6" s="103" t="s">
        <v>60</v>
      </c>
      <c r="X6" s="103" t="s">
        <v>60</v>
      </c>
      <c r="Y6" s="103" t="s">
        <v>60</v>
      </c>
      <c r="Z6" s="103" t="s">
        <v>60</v>
      </c>
      <c r="AA6" s="103" t="s">
        <v>60</v>
      </c>
      <c r="AB6" s="103" t="s">
        <v>59</v>
      </c>
      <c r="AC6" s="103" t="s">
        <v>59</v>
      </c>
      <c r="AD6" s="103" t="s">
        <v>59</v>
      </c>
      <c r="AE6" s="103" t="s">
        <v>59</v>
      </c>
      <c r="AF6" s="103" t="s">
        <v>59</v>
      </c>
      <c r="AG6" s="103" t="s">
        <v>59</v>
      </c>
      <c r="AH6" s="103" t="s">
        <v>59</v>
      </c>
      <c r="AI6" s="103" t="s">
        <v>59</v>
      </c>
      <c r="AJ6" s="103" t="s">
        <v>59</v>
      </c>
      <c r="AK6" s="103" t="s">
        <v>59</v>
      </c>
      <c r="AL6" s="103" t="s">
        <v>59</v>
      </c>
      <c r="AM6" s="103" t="s">
        <v>59</v>
      </c>
      <c r="AN6" s="103" t="s">
        <v>59</v>
      </c>
      <c r="AO6" s="103" t="s">
        <v>59</v>
      </c>
      <c r="AP6" s="103" t="s">
        <v>59</v>
      </c>
      <c r="AQ6" s="103" t="s">
        <v>59</v>
      </c>
      <c r="AR6" s="104">
        <f t="shared" si="1"/>
        <v>8</v>
      </c>
      <c r="AS6" s="104"/>
      <c r="AT6" s="104">
        <v>3.0</v>
      </c>
      <c r="AU6" s="105"/>
      <c r="AV6" s="3"/>
      <c r="AW6" s="106">
        <f>IF(AR6=" "," ",AR6/BC4)</f>
        <v>0.05</v>
      </c>
      <c r="AX6" s="97" t="str">
        <f t="shared" si="2"/>
        <v>NORMAL </v>
      </c>
      <c r="AY6" s="3"/>
      <c r="AZ6" s="3"/>
      <c r="BA6" s="3"/>
      <c r="BB6" s="3"/>
      <c r="BC6" s="3"/>
    </row>
    <row r="7" ht="12.75" customHeight="1">
      <c r="A7" s="100">
        <v>4.0</v>
      </c>
      <c r="B7" s="101" t="s">
        <v>63</v>
      </c>
      <c r="C7" s="107"/>
      <c r="D7" s="103" t="s">
        <v>59</v>
      </c>
      <c r="E7" s="103" t="s">
        <v>59</v>
      </c>
      <c r="F7" s="103" t="s">
        <v>59</v>
      </c>
      <c r="G7" s="103" t="s">
        <v>59</v>
      </c>
      <c r="H7" s="103" t="s">
        <v>59</v>
      </c>
      <c r="I7" s="103" t="s">
        <v>59</v>
      </c>
      <c r="J7" s="103" t="s">
        <v>59</v>
      </c>
      <c r="K7" s="103" t="s">
        <v>59</v>
      </c>
      <c r="L7" s="103" t="s">
        <v>60</v>
      </c>
      <c r="M7" s="103" t="s">
        <v>60</v>
      </c>
      <c r="N7" s="103" t="s">
        <v>60</v>
      </c>
      <c r="O7" s="103" t="s">
        <v>60</v>
      </c>
      <c r="P7" s="103" t="s">
        <v>59</v>
      </c>
      <c r="Q7" s="103" t="s">
        <v>59</v>
      </c>
      <c r="R7" s="103" t="s">
        <v>59</v>
      </c>
      <c r="S7" s="103" t="s">
        <v>59</v>
      </c>
      <c r="T7" s="103" t="s">
        <v>59</v>
      </c>
      <c r="U7" s="103" t="s">
        <v>59</v>
      </c>
      <c r="V7" s="103" t="s">
        <v>59</v>
      </c>
      <c r="W7" s="103" t="s">
        <v>59</v>
      </c>
      <c r="X7" s="103" t="s">
        <v>59</v>
      </c>
      <c r="Y7" s="103" t="s">
        <v>59</v>
      </c>
      <c r="Z7" s="103" t="s">
        <v>59</v>
      </c>
      <c r="AA7" s="103" t="s">
        <v>59</v>
      </c>
      <c r="AB7" s="103" t="s">
        <v>59</v>
      </c>
      <c r="AC7" s="103" t="s">
        <v>59</v>
      </c>
      <c r="AD7" s="103" t="s">
        <v>59</v>
      </c>
      <c r="AE7" s="103" t="s">
        <v>59</v>
      </c>
      <c r="AF7" s="103" t="s">
        <v>59</v>
      </c>
      <c r="AG7" s="103" t="s">
        <v>59</v>
      </c>
      <c r="AH7" s="103" t="s">
        <v>59</v>
      </c>
      <c r="AI7" s="103" t="s">
        <v>59</v>
      </c>
      <c r="AJ7" s="103" t="s">
        <v>60</v>
      </c>
      <c r="AK7" s="103" t="s">
        <v>60</v>
      </c>
      <c r="AL7" s="103" t="s">
        <v>60</v>
      </c>
      <c r="AM7" s="103" t="s">
        <v>60</v>
      </c>
      <c r="AN7" s="103" t="s">
        <v>59</v>
      </c>
      <c r="AO7" s="103" t="s">
        <v>59</v>
      </c>
      <c r="AP7" s="103" t="s">
        <v>59</v>
      </c>
      <c r="AQ7" s="103" t="s">
        <v>59</v>
      </c>
      <c r="AR7" s="104">
        <f t="shared" si="1"/>
        <v>8</v>
      </c>
      <c r="AS7" s="104"/>
      <c r="AT7" s="104">
        <v>4.0</v>
      </c>
      <c r="AU7" s="105"/>
      <c r="AV7" s="3"/>
      <c r="AW7" s="106">
        <f>IF(AR7=" "," ",AR7/BC4)</f>
        <v>0.05</v>
      </c>
      <c r="AX7" s="97" t="str">
        <f t="shared" si="2"/>
        <v>NORMAL </v>
      </c>
      <c r="AY7" s="3"/>
      <c r="AZ7" s="3"/>
      <c r="BA7" s="3"/>
      <c r="BB7" s="3"/>
      <c r="BC7" s="3"/>
    </row>
    <row r="8" ht="12.75" customHeight="1">
      <c r="A8" s="100">
        <v>5.0</v>
      </c>
      <c r="B8" s="101" t="s">
        <v>64</v>
      </c>
      <c r="C8" s="107"/>
      <c r="D8" s="103" t="s">
        <v>60</v>
      </c>
      <c r="E8" s="103" t="s">
        <v>60</v>
      </c>
      <c r="F8" s="103" t="s">
        <v>60</v>
      </c>
      <c r="G8" s="103" t="s">
        <v>60</v>
      </c>
      <c r="H8" s="103" t="s">
        <v>59</v>
      </c>
      <c r="I8" s="103" t="s">
        <v>59</v>
      </c>
      <c r="J8" s="103" t="s">
        <v>59</v>
      </c>
      <c r="K8" s="103" t="s">
        <v>59</v>
      </c>
      <c r="L8" s="103" t="s">
        <v>59</v>
      </c>
      <c r="M8" s="103" t="s">
        <v>59</v>
      </c>
      <c r="N8" s="103" t="s">
        <v>59</v>
      </c>
      <c r="O8" s="103" t="s">
        <v>59</v>
      </c>
      <c r="P8" s="103" t="s">
        <v>59</v>
      </c>
      <c r="Q8" s="103" t="s">
        <v>59</v>
      </c>
      <c r="R8" s="103" t="s">
        <v>59</v>
      </c>
      <c r="S8" s="103" t="s">
        <v>59</v>
      </c>
      <c r="T8" s="103" t="s">
        <v>59</v>
      </c>
      <c r="U8" s="103" t="s">
        <v>59</v>
      </c>
      <c r="V8" s="103" t="s">
        <v>59</v>
      </c>
      <c r="W8" s="103" t="s">
        <v>59</v>
      </c>
      <c r="X8" s="103" t="s">
        <v>60</v>
      </c>
      <c r="Y8" s="103" t="s">
        <v>60</v>
      </c>
      <c r="Z8" s="103" t="s">
        <v>60</v>
      </c>
      <c r="AA8" s="103" t="s">
        <v>60</v>
      </c>
      <c r="AB8" s="103" t="s">
        <v>59</v>
      </c>
      <c r="AC8" s="103" t="s">
        <v>59</v>
      </c>
      <c r="AD8" s="103" t="s">
        <v>59</v>
      </c>
      <c r="AE8" s="103" t="s">
        <v>59</v>
      </c>
      <c r="AF8" s="103" t="s">
        <v>60</v>
      </c>
      <c r="AG8" s="103" t="s">
        <v>60</v>
      </c>
      <c r="AH8" s="103" t="s">
        <v>60</v>
      </c>
      <c r="AI8" s="103" t="s">
        <v>60</v>
      </c>
      <c r="AJ8" s="103" t="s">
        <v>60</v>
      </c>
      <c r="AK8" s="103" t="s">
        <v>60</v>
      </c>
      <c r="AL8" s="103" t="s">
        <v>60</v>
      </c>
      <c r="AM8" s="103" t="s">
        <v>60</v>
      </c>
      <c r="AN8" s="103" t="s">
        <v>59</v>
      </c>
      <c r="AO8" s="103" t="s">
        <v>59</v>
      </c>
      <c r="AP8" s="103" t="s">
        <v>59</v>
      </c>
      <c r="AQ8" s="103" t="s">
        <v>59</v>
      </c>
      <c r="AR8" s="104">
        <f t="shared" si="1"/>
        <v>16</v>
      </c>
      <c r="AS8" s="104"/>
      <c r="AT8" s="104">
        <v>5.0</v>
      </c>
      <c r="AU8" s="105"/>
      <c r="AV8" s="3"/>
      <c r="AW8" s="106">
        <f>IF(AR8=" "," ",AR8/BC4)</f>
        <v>0.1</v>
      </c>
      <c r="AX8" s="97" t="str">
        <f t="shared" si="2"/>
        <v>NORMAL </v>
      </c>
      <c r="AY8" s="3"/>
      <c r="AZ8" s="3"/>
      <c r="BA8" s="3"/>
      <c r="BB8" s="3"/>
      <c r="BC8" s="3"/>
    </row>
    <row r="9" ht="12.75" customHeight="1">
      <c r="A9" s="108">
        <v>6.0</v>
      </c>
      <c r="B9" s="101" t="s">
        <v>65</v>
      </c>
      <c r="C9" s="107"/>
      <c r="D9" s="103" t="s">
        <v>59</v>
      </c>
      <c r="E9" s="103" t="s">
        <v>59</v>
      </c>
      <c r="F9" s="103" t="s">
        <v>59</v>
      </c>
      <c r="G9" s="103" t="s">
        <v>59</v>
      </c>
      <c r="H9" s="103" t="s">
        <v>59</v>
      </c>
      <c r="I9" s="103" t="s">
        <v>59</v>
      </c>
      <c r="J9" s="103" t="s">
        <v>59</v>
      </c>
      <c r="K9" s="103" t="s">
        <v>59</v>
      </c>
      <c r="L9" s="103" t="s">
        <v>59</v>
      </c>
      <c r="M9" s="103" t="s">
        <v>59</v>
      </c>
      <c r="N9" s="103" t="s">
        <v>59</v>
      </c>
      <c r="O9" s="103" t="s">
        <v>59</v>
      </c>
      <c r="P9" s="103" t="s">
        <v>59</v>
      </c>
      <c r="Q9" s="103" t="s">
        <v>59</v>
      </c>
      <c r="R9" s="103" t="s">
        <v>59</v>
      </c>
      <c r="S9" s="103" t="s">
        <v>59</v>
      </c>
      <c r="T9" s="103" t="s">
        <v>60</v>
      </c>
      <c r="U9" s="103" t="s">
        <v>60</v>
      </c>
      <c r="V9" s="103" t="s">
        <v>60</v>
      </c>
      <c r="W9" s="103" t="s">
        <v>60</v>
      </c>
      <c r="X9" s="103" t="s">
        <v>59</v>
      </c>
      <c r="Y9" s="103" t="s">
        <v>59</v>
      </c>
      <c r="Z9" s="103" t="s">
        <v>59</v>
      </c>
      <c r="AA9" s="103" t="s">
        <v>59</v>
      </c>
      <c r="AB9" s="103" t="s">
        <v>59</v>
      </c>
      <c r="AC9" s="103" t="s">
        <v>59</v>
      </c>
      <c r="AD9" s="103" t="s">
        <v>59</v>
      </c>
      <c r="AE9" s="103" t="s">
        <v>59</v>
      </c>
      <c r="AF9" s="103" t="s">
        <v>59</v>
      </c>
      <c r="AG9" s="103" t="s">
        <v>59</v>
      </c>
      <c r="AH9" s="103" t="s">
        <v>59</v>
      </c>
      <c r="AI9" s="103" t="s">
        <v>59</v>
      </c>
      <c r="AJ9" s="103" t="s">
        <v>59</v>
      </c>
      <c r="AK9" s="103" t="s">
        <v>59</v>
      </c>
      <c r="AL9" s="103" t="s">
        <v>59</v>
      </c>
      <c r="AM9" s="103" t="s">
        <v>59</v>
      </c>
      <c r="AN9" s="103" t="s">
        <v>59</v>
      </c>
      <c r="AO9" s="103" t="s">
        <v>59</v>
      </c>
      <c r="AP9" s="103" t="s">
        <v>59</v>
      </c>
      <c r="AQ9" s="103" t="s">
        <v>59</v>
      </c>
      <c r="AR9" s="104">
        <f t="shared" si="1"/>
        <v>4</v>
      </c>
      <c r="AS9" s="104"/>
      <c r="AT9" s="104">
        <v>6.0</v>
      </c>
      <c r="AU9" s="105"/>
      <c r="AV9" s="3"/>
      <c r="AW9" s="106">
        <f>IF(AR9=" "," ",AR9/BC4)</f>
        <v>0.025</v>
      </c>
      <c r="AX9" s="97" t="str">
        <f t="shared" si="2"/>
        <v>NORMAL </v>
      </c>
      <c r="AY9" s="3"/>
      <c r="AZ9" s="3"/>
      <c r="BA9" s="3"/>
      <c r="BB9" s="3"/>
      <c r="BC9" s="3"/>
    </row>
    <row r="10" ht="12.75" customHeight="1">
      <c r="A10" s="100">
        <v>7.0</v>
      </c>
      <c r="B10" s="101" t="s">
        <v>66</v>
      </c>
      <c r="C10" s="107"/>
      <c r="D10" s="103" t="s">
        <v>59</v>
      </c>
      <c r="E10" s="103" t="s">
        <v>59</v>
      </c>
      <c r="F10" s="103" t="s">
        <v>59</v>
      </c>
      <c r="G10" s="103" t="s">
        <v>59</v>
      </c>
      <c r="H10" s="103" t="s">
        <v>59</v>
      </c>
      <c r="I10" s="103" t="s">
        <v>59</v>
      </c>
      <c r="J10" s="103" t="s">
        <v>59</v>
      </c>
      <c r="K10" s="103" t="s">
        <v>59</v>
      </c>
      <c r="L10" s="103" t="s">
        <v>59</v>
      </c>
      <c r="M10" s="103" t="s">
        <v>59</v>
      </c>
      <c r="N10" s="103" t="s">
        <v>59</v>
      </c>
      <c r="O10" s="103" t="s">
        <v>59</v>
      </c>
      <c r="P10" s="103" t="s">
        <v>59</v>
      </c>
      <c r="Q10" s="103" t="s">
        <v>59</v>
      </c>
      <c r="R10" s="103" t="s">
        <v>59</v>
      </c>
      <c r="S10" s="103" t="s">
        <v>59</v>
      </c>
      <c r="T10" s="103" t="s">
        <v>59</v>
      </c>
      <c r="U10" s="103" t="s">
        <v>59</v>
      </c>
      <c r="V10" s="103" t="s">
        <v>59</v>
      </c>
      <c r="W10" s="103" t="s">
        <v>59</v>
      </c>
      <c r="X10" s="103" t="s">
        <v>59</v>
      </c>
      <c r="Y10" s="103" t="s">
        <v>59</v>
      </c>
      <c r="Z10" s="103" t="s">
        <v>59</v>
      </c>
      <c r="AA10" s="103" t="s">
        <v>59</v>
      </c>
      <c r="AB10" s="103" t="s">
        <v>59</v>
      </c>
      <c r="AC10" s="103" t="s">
        <v>59</v>
      </c>
      <c r="AD10" s="103" t="s">
        <v>59</v>
      </c>
      <c r="AE10" s="103" t="s">
        <v>59</v>
      </c>
      <c r="AF10" s="103" t="s">
        <v>60</v>
      </c>
      <c r="AG10" s="103" t="s">
        <v>60</v>
      </c>
      <c r="AH10" s="103" t="s">
        <v>60</v>
      </c>
      <c r="AI10" s="103" t="s">
        <v>60</v>
      </c>
      <c r="AJ10" s="103" t="s">
        <v>60</v>
      </c>
      <c r="AK10" s="103" t="s">
        <v>60</v>
      </c>
      <c r="AL10" s="103" t="s">
        <v>60</v>
      </c>
      <c r="AM10" s="103" t="s">
        <v>60</v>
      </c>
      <c r="AN10" s="103" t="s">
        <v>59</v>
      </c>
      <c r="AO10" s="103" t="s">
        <v>59</v>
      </c>
      <c r="AP10" s="103" t="s">
        <v>59</v>
      </c>
      <c r="AQ10" s="103" t="s">
        <v>59</v>
      </c>
      <c r="AR10" s="104">
        <f t="shared" si="1"/>
        <v>8</v>
      </c>
      <c r="AS10" s="104"/>
      <c r="AT10" s="104">
        <v>7.0</v>
      </c>
      <c r="AU10" s="105"/>
      <c r="AV10" s="3"/>
      <c r="AW10" s="106">
        <f>IF(AR10=" "," ",AR10/BC4)</f>
        <v>0.05</v>
      </c>
      <c r="AX10" s="97" t="str">
        <f t="shared" si="2"/>
        <v>NORMAL </v>
      </c>
      <c r="AY10" s="3"/>
      <c r="AZ10" s="3"/>
      <c r="BA10" s="3"/>
      <c r="BB10" s="3"/>
      <c r="BC10" s="3"/>
    </row>
    <row r="11" ht="12.75" customHeight="1">
      <c r="A11" s="100">
        <v>8.0</v>
      </c>
      <c r="B11" s="101" t="s">
        <v>67</v>
      </c>
      <c r="C11" s="107"/>
      <c r="D11" s="103" t="s">
        <v>59</v>
      </c>
      <c r="E11" s="103" t="s">
        <v>59</v>
      </c>
      <c r="F11" s="103" t="s">
        <v>59</v>
      </c>
      <c r="G11" s="103" t="s">
        <v>59</v>
      </c>
      <c r="H11" s="103" t="s">
        <v>59</v>
      </c>
      <c r="I11" s="103" t="s">
        <v>59</v>
      </c>
      <c r="J11" s="103" t="s">
        <v>59</v>
      </c>
      <c r="K11" s="103" t="s">
        <v>59</v>
      </c>
      <c r="L11" s="103" t="s">
        <v>59</v>
      </c>
      <c r="M11" s="103" t="s">
        <v>59</v>
      </c>
      <c r="N11" s="103" t="s">
        <v>59</v>
      </c>
      <c r="O11" s="103" t="s">
        <v>59</v>
      </c>
      <c r="P11" s="103" t="s">
        <v>59</v>
      </c>
      <c r="Q11" s="103" t="s">
        <v>59</v>
      </c>
      <c r="R11" s="103" t="s">
        <v>59</v>
      </c>
      <c r="S11" s="103" t="s">
        <v>59</v>
      </c>
      <c r="T11" s="103" t="s">
        <v>59</v>
      </c>
      <c r="U11" s="103" t="s">
        <v>59</v>
      </c>
      <c r="V11" s="103" t="s">
        <v>59</v>
      </c>
      <c r="W11" s="103" t="s">
        <v>59</v>
      </c>
      <c r="X11" s="103" t="s">
        <v>59</v>
      </c>
      <c r="Y11" s="103" t="s">
        <v>59</v>
      </c>
      <c r="Z11" s="103" t="s">
        <v>59</v>
      </c>
      <c r="AA11" s="103" t="s">
        <v>59</v>
      </c>
      <c r="AB11" s="103" t="s">
        <v>59</v>
      </c>
      <c r="AC11" s="103" t="s">
        <v>59</v>
      </c>
      <c r="AD11" s="103" t="s">
        <v>59</v>
      </c>
      <c r="AE11" s="103" t="s">
        <v>59</v>
      </c>
      <c r="AF11" s="103" t="s">
        <v>59</v>
      </c>
      <c r="AG11" s="103" t="s">
        <v>59</v>
      </c>
      <c r="AH11" s="103" t="s">
        <v>59</v>
      </c>
      <c r="AI11" s="103" t="s">
        <v>59</v>
      </c>
      <c r="AJ11" s="103" t="s">
        <v>59</v>
      </c>
      <c r="AK11" s="103" t="s">
        <v>59</v>
      </c>
      <c r="AL11" s="103" t="s">
        <v>59</v>
      </c>
      <c r="AM11" s="103" t="s">
        <v>59</v>
      </c>
      <c r="AN11" s="103" t="s">
        <v>59</v>
      </c>
      <c r="AO11" s="103" t="s">
        <v>59</v>
      </c>
      <c r="AP11" s="103" t="s">
        <v>59</v>
      </c>
      <c r="AQ11" s="103" t="s">
        <v>59</v>
      </c>
      <c r="AR11" s="104">
        <f t="shared" si="1"/>
        <v>0</v>
      </c>
      <c r="AS11" s="104"/>
      <c r="AT11" s="104">
        <v>8.0</v>
      </c>
      <c r="AU11" s="105"/>
      <c r="AV11" s="3"/>
      <c r="AW11" s="106">
        <f>IF(AR11=" "," ",AR11/BC4)</f>
        <v>0</v>
      </c>
      <c r="AX11" s="97" t="str">
        <f t="shared" si="2"/>
        <v>NORMAL </v>
      </c>
      <c r="AY11" s="3"/>
      <c r="AZ11" s="3"/>
      <c r="BA11" s="3"/>
      <c r="BB11" s="3"/>
      <c r="BC11" s="3"/>
    </row>
    <row r="12" ht="12.75" customHeight="1">
      <c r="A12" s="108">
        <v>9.0</v>
      </c>
      <c r="B12" s="101" t="s">
        <v>68</v>
      </c>
      <c r="C12" s="107"/>
      <c r="D12" s="103" t="s">
        <v>59</v>
      </c>
      <c r="E12" s="103" t="s">
        <v>59</v>
      </c>
      <c r="F12" s="103" t="s">
        <v>59</v>
      </c>
      <c r="G12" s="103" t="s">
        <v>59</v>
      </c>
      <c r="H12" s="103" t="s">
        <v>59</v>
      </c>
      <c r="I12" s="103" t="s">
        <v>59</v>
      </c>
      <c r="J12" s="103" t="s">
        <v>59</v>
      </c>
      <c r="K12" s="103" t="s">
        <v>59</v>
      </c>
      <c r="L12" s="103" t="s">
        <v>59</v>
      </c>
      <c r="M12" s="103" t="s">
        <v>59</v>
      </c>
      <c r="N12" s="103" t="s">
        <v>59</v>
      </c>
      <c r="O12" s="103" t="s">
        <v>59</v>
      </c>
      <c r="P12" s="103" t="s">
        <v>59</v>
      </c>
      <c r="Q12" s="103" t="s">
        <v>59</v>
      </c>
      <c r="R12" s="103" t="s">
        <v>59</v>
      </c>
      <c r="S12" s="103" t="s">
        <v>59</v>
      </c>
      <c r="T12" s="103" t="s">
        <v>59</v>
      </c>
      <c r="U12" s="103" t="s">
        <v>59</v>
      </c>
      <c r="V12" s="103" t="s">
        <v>59</v>
      </c>
      <c r="W12" s="103" t="s">
        <v>59</v>
      </c>
      <c r="X12" s="103" t="s">
        <v>59</v>
      </c>
      <c r="Y12" s="103" t="s">
        <v>59</v>
      </c>
      <c r="Z12" s="103" t="s">
        <v>59</v>
      </c>
      <c r="AA12" s="103" t="s">
        <v>59</v>
      </c>
      <c r="AB12" s="103" t="s">
        <v>60</v>
      </c>
      <c r="AC12" s="103" t="s">
        <v>60</v>
      </c>
      <c r="AD12" s="103" t="s">
        <v>60</v>
      </c>
      <c r="AE12" s="103" t="s">
        <v>60</v>
      </c>
      <c r="AF12" s="103" t="s">
        <v>59</v>
      </c>
      <c r="AG12" s="103" t="s">
        <v>59</v>
      </c>
      <c r="AH12" s="103" t="s">
        <v>59</v>
      </c>
      <c r="AI12" s="103" t="s">
        <v>59</v>
      </c>
      <c r="AJ12" s="103" t="s">
        <v>59</v>
      </c>
      <c r="AK12" s="103" t="s">
        <v>59</v>
      </c>
      <c r="AL12" s="103" t="s">
        <v>59</v>
      </c>
      <c r="AM12" s="103" t="s">
        <v>59</v>
      </c>
      <c r="AN12" s="103" t="s">
        <v>59</v>
      </c>
      <c r="AO12" s="103" t="s">
        <v>59</v>
      </c>
      <c r="AP12" s="103" t="s">
        <v>59</v>
      </c>
      <c r="AQ12" s="103" t="s">
        <v>59</v>
      </c>
      <c r="AR12" s="104">
        <f t="shared" si="1"/>
        <v>4</v>
      </c>
      <c r="AS12" s="104"/>
      <c r="AT12" s="104">
        <v>9.0</v>
      </c>
      <c r="AU12" s="105"/>
      <c r="AV12" s="3"/>
      <c r="AW12" s="106">
        <f>IF(AR12=" "," ",AR12/BC4)</f>
        <v>0.025</v>
      </c>
      <c r="AX12" s="97" t="str">
        <f t="shared" si="2"/>
        <v>NORMAL </v>
      </c>
      <c r="AY12" s="3"/>
      <c r="AZ12" s="3"/>
      <c r="BA12" s="3"/>
      <c r="BB12" s="3"/>
      <c r="BC12" s="3"/>
    </row>
    <row r="13" ht="12.75" customHeight="1">
      <c r="A13" s="100">
        <v>10.0</v>
      </c>
      <c r="B13" s="101" t="s">
        <v>69</v>
      </c>
      <c r="C13" s="107"/>
      <c r="D13" s="103" t="s">
        <v>59</v>
      </c>
      <c r="E13" s="103" t="s">
        <v>59</v>
      </c>
      <c r="F13" s="103" t="s">
        <v>59</v>
      </c>
      <c r="G13" s="103" t="s">
        <v>59</v>
      </c>
      <c r="H13" s="103" t="s">
        <v>59</v>
      </c>
      <c r="I13" s="103" t="s">
        <v>59</v>
      </c>
      <c r="J13" s="103" t="s">
        <v>59</v>
      </c>
      <c r="K13" s="103" t="s">
        <v>59</v>
      </c>
      <c r="L13" s="103" t="s">
        <v>60</v>
      </c>
      <c r="M13" s="103" t="s">
        <v>60</v>
      </c>
      <c r="N13" s="103" t="s">
        <v>60</v>
      </c>
      <c r="O13" s="103" t="s">
        <v>60</v>
      </c>
      <c r="P13" s="103" t="s">
        <v>60</v>
      </c>
      <c r="Q13" s="103" t="s">
        <v>60</v>
      </c>
      <c r="R13" s="103" t="s">
        <v>60</v>
      </c>
      <c r="S13" s="103" t="s">
        <v>60</v>
      </c>
      <c r="T13" s="103" t="s">
        <v>60</v>
      </c>
      <c r="U13" s="103" t="s">
        <v>60</v>
      </c>
      <c r="V13" s="103" t="s">
        <v>60</v>
      </c>
      <c r="W13" s="103" t="s">
        <v>60</v>
      </c>
      <c r="X13" s="103" t="s">
        <v>60</v>
      </c>
      <c r="Y13" s="103" t="s">
        <v>60</v>
      </c>
      <c r="Z13" s="103" t="s">
        <v>60</v>
      </c>
      <c r="AA13" s="103" t="s">
        <v>60</v>
      </c>
      <c r="AB13" s="103" t="s">
        <v>59</v>
      </c>
      <c r="AC13" s="103" t="s">
        <v>59</v>
      </c>
      <c r="AD13" s="103" t="s">
        <v>59</v>
      </c>
      <c r="AE13" s="103" t="s">
        <v>59</v>
      </c>
      <c r="AF13" s="103" t="s">
        <v>59</v>
      </c>
      <c r="AG13" s="103" t="s">
        <v>59</v>
      </c>
      <c r="AH13" s="103" t="s">
        <v>59</v>
      </c>
      <c r="AI13" s="103" t="s">
        <v>59</v>
      </c>
      <c r="AJ13" s="103" t="s">
        <v>60</v>
      </c>
      <c r="AK13" s="103" t="s">
        <v>60</v>
      </c>
      <c r="AL13" s="103" t="s">
        <v>60</v>
      </c>
      <c r="AM13" s="103" t="s">
        <v>60</v>
      </c>
      <c r="AN13" s="103" t="s">
        <v>60</v>
      </c>
      <c r="AO13" s="103" t="s">
        <v>60</v>
      </c>
      <c r="AP13" s="103" t="s">
        <v>60</v>
      </c>
      <c r="AQ13" s="103" t="s">
        <v>60</v>
      </c>
      <c r="AR13" s="104">
        <f t="shared" si="1"/>
        <v>24</v>
      </c>
      <c r="AS13" s="104"/>
      <c r="AT13" s="104">
        <v>10.0</v>
      </c>
      <c r="AU13" s="105"/>
      <c r="AV13" s="3"/>
      <c r="AW13" s="106">
        <f>IF(AR13=" "," ",AR13/BC4)</f>
        <v>0.15</v>
      </c>
      <c r="AX13" s="97" t="str">
        <f t="shared" si="2"/>
        <v>NORMAL </v>
      </c>
      <c r="AY13" s="3"/>
      <c r="AZ13" s="3"/>
      <c r="BA13" s="3"/>
      <c r="BB13" s="3"/>
      <c r="BC13" s="3"/>
    </row>
    <row r="14" ht="12.75" customHeight="1">
      <c r="A14" s="100">
        <v>11.0</v>
      </c>
      <c r="B14" s="101" t="s">
        <v>70</v>
      </c>
      <c r="C14" s="107"/>
      <c r="D14" s="103" t="s">
        <v>59</v>
      </c>
      <c r="E14" s="103" t="s">
        <v>59</v>
      </c>
      <c r="F14" s="103" t="s">
        <v>59</v>
      </c>
      <c r="G14" s="103" t="s">
        <v>59</v>
      </c>
      <c r="H14" s="103" t="s">
        <v>59</v>
      </c>
      <c r="I14" s="103" t="s">
        <v>59</v>
      </c>
      <c r="J14" s="103" t="s">
        <v>59</v>
      </c>
      <c r="K14" s="103" t="s">
        <v>59</v>
      </c>
      <c r="L14" s="103" t="s">
        <v>59</v>
      </c>
      <c r="M14" s="103" t="s">
        <v>59</v>
      </c>
      <c r="N14" s="103" t="s">
        <v>59</v>
      </c>
      <c r="O14" s="103" t="s">
        <v>59</v>
      </c>
      <c r="P14" s="103" t="s">
        <v>59</v>
      </c>
      <c r="Q14" s="103" t="s">
        <v>59</v>
      </c>
      <c r="R14" s="103" t="s">
        <v>59</v>
      </c>
      <c r="S14" s="103" t="s">
        <v>59</v>
      </c>
      <c r="T14" s="103" t="s">
        <v>60</v>
      </c>
      <c r="U14" s="103" t="s">
        <v>60</v>
      </c>
      <c r="V14" s="103" t="s">
        <v>60</v>
      </c>
      <c r="W14" s="103" t="s">
        <v>60</v>
      </c>
      <c r="X14" s="103" t="s">
        <v>59</v>
      </c>
      <c r="Y14" s="103" t="s">
        <v>59</v>
      </c>
      <c r="Z14" s="103" t="s">
        <v>59</v>
      </c>
      <c r="AA14" s="103" t="s">
        <v>59</v>
      </c>
      <c r="AB14" s="103" t="s">
        <v>59</v>
      </c>
      <c r="AC14" s="103" t="s">
        <v>59</v>
      </c>
      <c r="AD14" s="103" t="s">
        <v>59</v>
      </c>
      <c r="AE14" s="103" t="s">
        <v>59</v>
      </c>
      <c r="AF14" s="103" t="s">
        <v>59</v>
      </c>
      <c r="AG14" s="103" t="s">
        <v>59</v>
      </c>
      <c r="AH14" s="103" t="s">
        <v>59</v>
      </c>
      <c r="AI14" s="103" t="s">
        <v>59</v>
      </c>
      <c r="AJ14" s="103" t="s">
        <v>59</v>
      </c>
      <c r="AK14" s="103" t="s">
        <v>59</v>
      </c>
      <c r="AL14" s="103" t="s">
        <v>59</v>
      </c>
      <c r="AM14" s="103" t="s">
        <v>59</v>
      </c>
      <c r="AN14" s="103" t="s">
        <v>59</v>
      </c>
      <c r="AO14" s="103" t="s">
        <v>59</v>
      </c>
      <c r="AP14" s="103" t="s">
        <v>59</v>
      </c>
      <c r="AQ14" s="103" t="s">
        <v>59</v>
      </c>
      <c r="AR14" s="104">
        <f t="shared" si="1"/>
        <v>4</v>
      </c>
      <c r="AS14" s="104"/>
      <c r="AT14" s="104">
        <v>11.0</v>
      </c>
      <c r="AU14" s="105"/>
      <c r="AV14" s="3"/>
      <c r="AW14" s="106">
        <f>IF(AR14=" "," ",AR14/BC4)</f>
        <v>0.025</v>
      </c>
      <c r="AX14" s="97" t="str">
        <f t="shared" si="2"/>
        <v>NORMAL </v>
      </c>
      <c r="AY14" s="3"/>
      <c r="AZ14" s="3"/>
      <c r="BA14" s="3"/>
      <c r="BB14" s="3"/>
      <c r="BC14" s="3"/>
    </row>
    <row r="15" ht="12.75" customHeight="1">
      <c r="A15" s="100">
        <v>12.0</v>
      </c>
      <c r="B15" s="101" t="s">
        <v>71</v>
      </c>
      <c r="C15" s="107"/>
      <c r="D15" s="103" t="s">
        <v>59</v>
      </c>
      <c r="E15" s="103" t="s">
        <v>59</v>
      </c>
      <c r="F15" s="103" t="s">
        <v>59</v>
      </c>
      <c r="G15" s="103" t="s">
        <v>59</v>
      </c>
      <c r="H15" s="103" t="s">
        <v>59</v>
      </c>
      <c r="I15" s="103" t="s">
        <v>59</v>
      </c>
      <c r="J15" s="103" t="s">
        <v>59</v>
      </c>
      <c r="K15" s="103" t="s">
        <v>59</v>
      </c>
      <c r="L15" s="103" t="s">
        <v>59</v>
      </c>
      <c r="M15" s="103" t="s">
        <v>59</v>
      </c>
      <c r="N15" s="103" t="s">
        <v>59</v>
      </c>
      <c r="O15" s="103" t="s">
        <v>59</v>
      </c>
      <c r="P15" s="103" t="s">
        <v>59</v>
      </c>
      <c r="Q15" s="103" t="s">
        <v>59</v>
      </c>
      <c r="R15" s="103" t="s">
        <v>59</v>
      </c>
      <c r="S15" s="103" t="s">
        <v>59</v>
      </c>
      <c r="T15" s="103" t="s">
        <v>59</v>
      </c>
      <c r="U15" s="103" t="s">
        <v>59</v>
      </c>
      <c r="V15" s="103" t="s">
        <v>59</v>
      </c>
      <c r="W15" s="103" t="s">
        <v>59</v>
      </c>
      <c r="X15" s="103" t="s">
        <v>59</v>
      </c>
      <c r="Y15" s="103" t="s">
        <v>59</v>
      </c>
      <c r="Z15" s="103" t="s">
        <v>59</v>
      </c>
      <c r="AA15" s="103" t="s">
        <v>59</v>
      </c>
      <c r="AB15" s="103" t="s">
        <v>59</v>
      </c>
      <c r="AC15" s="103" t="s">
        <v>59</v>
      </c>
      <c r="AD15" s="103" t="s">
        <v>59</v>
      </c>
      <c r="AE15" s="103" t="s">
        <v>59</v>
      </c>
      <c r="AF15" s="103" t="s">
        <v>59</v>
      </c>
      <c r="AG15" s="103" t="s">
        <v>59</v>
      </c>
      <c r="AH15" s="103" t="s">
        <v>59</v>
      </c>
      <c r="AI15" s="103" t="s">
        <v>59</v>
      </c>
      <c r="AJ15" s="103" t="s">
        <v>59</v>
      </c>
      <c r="AK15" s="103" t="s">
        <v>59</v>
      </c>
      <c r="AL15" s="103" t="s">
        <v>59</v>
      </c>
      <c r="AM15" s="103" t="s">
        <v>59</v>
      </c>
      <c r="AN15" s="103" t="s">
        <v>59</v>
      </c>
      <c r="AO15" s="103" t="s">
        <v>59</v>
      </c>
      <c r="AP15" s="103" t="s">
        <v>59</v>
      </c>
      <c r="AQ15" s="103" t="s">
        <v>59</v>
      </c>
      <c r="AR15" s="104">
        <f t="shared" si="1"/>
        <v>0</v>
      </c>
      <c r="AS15" s="104"/>
      <c r="AT15" s="104">
        <v>12.0</v>
      </c>
      <c r="AU15" s="105"/>
      <c r="AV15" s="3"/>
      <c r="AW15" s="106">
        <f>IF(AR15=" "," ",AR15/BC4)</f>
        <v>0</v>
      </c>
      <c r="AX15" s="97" t="str">
        <f t="shared" si="2"/>
        <v>NORMAL </v>
      </c>
      <c r="AY15" s="3"/>
      <c r="AZ15" s="3"/>
      <c r="BA15" s="3"/>
      <c r="BB15" s="3"/>
      <c r="BC15" s="3"/>
    </row>
    <row r="16" ht="12.75" customHeight="1">
      <c r="A16" s="108">
        <v>13.0</v>
      </c>
      <c r="B16" s="101" t="s">
        <v>72</v>
      </c>
      <c r="C16" s="107"/>
      <c r="D16" s="103" t="s">
        <v>59</v>
      </c>
      <c r="E16" s="103" t="s">
        <v>59</v>
      </c>
      <c r="F16" s="103" t="s">
        <v>59</v>
      </c>
      <c r="G16" s="103" t="s">
        <v>59</v>
      </c>
      <c r="H16" s="103" t="s">
        <v>59</v>
      </c>
      <c r="I16" s="103" t="s">
        <v>59</v>
      </c>
      <c r="J16" s="103" t="s">
        <v>59</v>
      </c>
      <c r="K16" s="103" t="s">
        <v>59</v>
      </c>
      <c r="L16" s="103" t="s">
        <v>60</v>
      </c>
      <c r="M16" s="103" t="s">
        <v>60</v>
      </c>
      <c r="N16" s="103" t="s">
        <v>60</v>
      </c>
      <c r="O16" s="103" t="s">
        <v>60</v>
      </c>
      <c r="P16" s="103" t="s">
        <v>59</v>
      </c>
      <c r="Q16" s="103" t="s">
        <v>59</v>
      </c>
      <c r="R16" s="103" t="s">
        <v>59</v>
      </c>
      <c r="S16" s="103" t="s">
        <v>59</v>
      </c>
      <c r="T16" s="103" t="s">
        <v>59</v>
      </c>
      <c r="U16" s="103" t="s">
        <v>59</v>
      </c>
      <c r="V16" s="103" t="s">
        <v>59</v>
      </c>
      <c r="W16" s="103" t="s">
        <v>59</v>
      </c>
      <c r="X16" s="103" t="s">
        <v>59</v>
      </c>
      <c r="Y16" s="103" t="s">
        <v>59</v>
      </c>
      <c r="Z16" s="103" t="s">
        <v>59</v>
      </c>
      <c r="AA16" s="103" t="s">
        <v>59</v>
      </c>
      <c r="AB16" s="103" t="s">
        <v>59</v>
      </c>
      <c r="AC16" s="103" t="s">
        <v>59</v>
      </c>
      <c r="AD16" s="103" t="s">
        <v>59</v>
      </c>
      <c r="AE16" s="103" t="s">
        <v>59</v>
      </c>
      <c r="AF16" s="103" t="s">
        <v>59</v>
      </c>
      <c r="AG16" s="103" t="s">
        <v>59</v>
      </c>
      <c r="AH16" s="103" t="s">
        <v>59</v>
      </c>
      <c r="AI16" s="103" t="s">
        <v>59</v>
      </c>
      <c r="AJ16" s="103" t="s">
        <v>59</v>
      </c>
      <c r="AK16" s="103" t="s">
        <v>59</v>
      </c>
      <c r="AL16" s="103" t="s">
        <v>59</v>
      </c>
      <c r="AM16" s="103" t="s">
        <v>59</v>
      </c>
      <c r="AN16" s="103" t="s">
        <v>59</v>
      </c>
      <c r="AO16" s="103" t="s">
        <v>59</v>
      </c>
      <c r="AP16" s="103" t="s">
        <v>59</v>
      </c>
      <c r="AQ16" s="103" t="s">
        <v>59</v>
      </c>
      <c r="AR16" s="104">
        <f t="shared" si="1"/>
        <v>4</v>
      </c>
      <c r="AS16" s="104"/>
      <c r="AT16" s="104">
        <v>13.0</v>
      </c>
      <c r="AU16" s="105"/>
      <c r="AV16" s="3"/>
      <c r="AW16" s="106">
        <f>IF(AR16=" "," ",AR16/BC4)</f>
        <v>0.025</v>
      </c>
      <c r="AX16" s="97" t="str">
        <f t="shared" si="2"/>
        <v>NORMAL </v>
      </c>
      <c r="AY16" s="3"/>
      <c r="BA16" s="3"/>
      <c r="BB16" s="3"/>
      <c r="BC16" s="3"/>
    </row>
    <row r="17" ht="12.75" customHeight="1">
      <c r="A17" s="100">
        <v>14.0</v>
      </c>
      <c r="B17" s="101" t="s">
        <v>73</v>
      </c>
      <c r="C17" s="107"/>
      <c r="D17" s="103" t="s">
        <v>59</v>
      </c>
      <c r="E17" s="103" t="s">
        <v>59</v>
      </c>
      <c r="F17" s="103" t="s">
        <v>59</v>
      </c>
      <c r="G17" s="103" t="s">
        <v>59</v>
      </c>
      <c r="H17" s="103" t="s">
        <v>59</v>
      </c>
      <c r="I17" s="103" t="s">
        <v>59</v>
      </c>
      <c r="J17" s="103" t="s">
        <v>59</v>
      </c>
      <c r="K17" s="103" t="s">
        <v>59</v>
      </c>
      <c r="L17" s="103" t="s">
        <v>59</v>
      </c>
      <c r="M17" s="103" t="s">
        <v>59</v>
      </c>
      <c r="N17" s="103" t="s">
        <v>59</v>
      </c>
      <c r="O17" s="103" t="s">
        <v>59</v>
      </c>
      <c r="P17" s="103" t="s">
        <v>59</v>
      </c>
      <c r="Q17" s="103" t="s">
        <v>59</v>
      </c>
      <c r="R17" s="103" t="s">
        <v>59</v>
      </c>
      <c r="S17" s="103" t="s">
        <v>59</v>
      </c>
      <c r="T17" s="103" t="s">
        <v>60</v>
      </c>
      <c r="U17" s="103" t="s">
        <v>60</v>
      </c>
      <c r="V17" s="103" t="s">
        <v>60</v>
      </c>
      <c r="W17" s="103" t="s">
        <v>60</v>
      </c>
      <c r="X17" s="103" t="s">
        <v>59</v>
      </c>
      <c r="Y17" s="103" t="s">
        <v>59</v>
      </c>
      <c r="Z17" s="103" t="s">
        <v>59</v>
      </c>
      <c r="AA17" s="103" t="s">
        <v>59</v>
      </c>
      <c r="AB17" s="103" t="s">
        <v>59</v>
      </c>
      <c r="AC17" s="103" t="s">
        <v>59</v>
      </c>
      <c r="AD17" s="103" t="s">
        <v>59</v>
      </c>
      <c r="AE17" s="103" t="s">
        <v>59</v>
      </c>
      <c r="AF17" s="103" t="s">
        <v>59</v>
      </c>
      <c r="AG17" s="103" t="s">
        <v>59</v>
      </c>
      <c r="AH17" s="103" t="s">
        <v>59</v>
      </c>
      <c r="AI17" s="103" t="s">
        <v>59</v>
      </c>
      <c r="AJ17" s="103" t="s">
        <v>59</v>
      </c>
      <c r="AK17" s="103" t="s">
        <v>59</v>
      </c>
      <c r="AL17" s="103" t="s">
        <v>59</v>
      </c>
      <c r="AM17" s="103" t="s">
        <v>59</v>
      </c>
      <c r="AN17" s="103" t="s">
        <v>60</v>
      </c>
      <c r="AO17" s="103" t="s">
        <v>60</v>
      </c>
      <c r="AP17" s="103" t="s">
        <v>60</v>
      </c>
      <c r="AQ17" s="103" t="s">
        <v>60</v>
      </c>
      <c r="AR17" s="104">
        <f t="shared" si="1"/>
        <v>8</v>
      </c>
      <c r="AS17" s="104"/>
      <c r="AT17" s="104">
        <v>14.0</v>
      </c>
      <c r="AU17" s="105"/>
      <c r="AV17" s="3"/>
      <c r="AW17" s="106">
        <f>IF(AR17=" "," ",AR17/BC4)</f>
        <v>0.05</v>
      </c>
      <c r="AX17" s="97" t="str">
        <f t="shared" si="2"/>
        <v>NORMAL </v>
      </c>
      <c r="AY17" s="3"/>
      <c r="AZ17" s="3"/>
      <c r="BA17" s="3"/>
      <c r="BB17" s="3"/>
      <c r="BC17" s="3"/>
    </row>
    <row r="18" ht="12.75" customHeight="1">
      <c r="A18" s="100">
        <v>15.0</v>
      </c>
      <c r="B18" s="101" t="s">
        <v>74</v>
      </c>
      <c r="C18" s="107"/>
      <c r="D18" s="103" t="s">
        <v>59</v>
      </c>
      <c r="E18" s="103" t="s">
        <v>59</v>
      </c>
      <c r="F18" s="103" t="s">
        <v>59</v>
      </c>
      <c r="G18" s="103" t="s">
        <v>59</v>
      </c>
      <c r="H18" s="103" t="s">
        <v>59</v>
      </c>
      <c r="I18" s="103" t="s">
        <v>59</v>
      </c>
      <c r="J18" s="103" t="s">
        <v>59</v>
      </c>
      <c r="K18" s="103" t="s">
        <v>59</v>
      </c>
      <c r="L18" s="103" t="s">
        <v>59</v>
      </c>
      <c r="M18" s="103" t="s">
        <v>59</v>
      </c>
      <c r="N18" s="103" t="s">
        <v>59</v>
      </c>
      <c r="O18" s="103" t="s">
        <v>59</v>
      </c>
      <c r="P18" s="103" t="s">
        <v>59</v>
      </c>
      <c r="Q18" s="103" t="s">
        <v>59</v>
      </c>
      <c r="R18" s="103" t="s">
        <v>59</v>
      </c>
      <c r="S18" s="103" t="s">
        <v>59</v>
      </c>
      <c r="T18" s="103" t="s">
        <v>59</v>
      </c>
      <c r="U18" s="103" t="s">
        <v>59</v>
      </c>
      <c r="V18" s="103" t="s">
        <v>59</v>
      </c>
      <c r="W18" s="103" t="s">
        <v>59</v>
      </c>
      <c r="X18" s="103" t="s">
        <v>59</v>
      </c>
      <c r="Y18" s="103" t="s">
        <v>59</v>
      </c>
      <c r="Z18" s="103" t="s">
        <v>59</v>
      </c>
      <c r="AA18" s="103" t="s">
        <v>59</v>
      </c>
      <c r="AB18" s="103" t="s">
        <v>59</v>
      </c>
      <c r="AC18" s="103" t="s">
        <v>59</v>
      </c>
      <c r="AD18" s="103" t="s">
        <v>59</v>
      </c>
      <c r="AE18" s="103" t="s">
        <v>59</v>
      </c>
      <c r="AF18" s="103" t="s">
        <v>59</v>
      </c>
      <c r="AG18" s="103" t="s">
        <v>59</v>
      </c>
      <c r="AH18" s="103" t="s">
        <v>59</v>
      </c>
      <c r="AI18" s="103" t="s">
        <v>59</v>
      </c>
      <c r="AJ18" s="103" t="s">
        <v>59</v>
      </c>
      <c r="AK18" s="103" t="s">
        <v>59</v>
      </c>
      <c r="AL18" s="103" t="s">
        <v>59</v>
      </c>
      <c r="AM18" s="103" t="s">
        <v>59</v>
      </c>
      <c r="AN18" s="103" t="s">
        <v>59</v>
      </c>
      <c r="AO18" s="103" t="s">
        <v>59</v>
      </c>
      <c r="AP18" s="103" t="s">
        <v>59</v>
      </c>
      <c r="AQ18" s="103" t="s">
        <v>59</v>
      </c>
      <c r="AR18" s="104">
        <f t="shared" si="1"/>
        <v>0</v>
      </c>
      <c r="AS18" s="104"/>
      <c r="AT18" s="104">
        <v>15.0</v>
      </c>
      <c r="AU18" s="105"/>
      <c r="AV18" s="3"/>
      <c r="AW18" s="106">
        <f>IF(AR18=" "," ",AR18/BC4)</f>
        <v>0</v>
      </c>
      <c r="AX18" s="97" t="str">
        <f t="shared" si="2"/>
        <v>NORMAL </v>
      </c>
      <c r="AY18" s="3"/>
      <c r="AZ18" s="3"/>
      <c r="BA18" s="3"/>
      <c r="BB18" s="3"/>
      <c r="BC18" s="3"/>
    </row>
    <row r="19" ht="12.75" customHeight="1">
      <c r="A19" s="108">
        <v>16.0</v>
      </c>
      <c r="B19" s="101" t="s">
        <v>75</v>
      </c>
      <c r="C19" s="107"/>
      <c r="D19" s="103" t="s">
        <v>59</v>
      </c>
      <c r="E19" s="103" t="s">
        <v>59</v>
      </c>
      <c r="F19" s="103" t="s">
        <v>59</v>
      </c>
      <c r="G19" s="103" t="s">
        <v>59</v>
      </c>
      <c r="H19" s="103" t="s">
        <v>59</v>
      </c>
      <c r="I19" s="103" t="s">
        <v>59</v>
      </c>
      <c r="J19" s="103" t="s">
        <v>59</v>
      </c>
      <c r="K19" s="103" t="s">
        <v>59</v>
      </c>
      <c r="L19" s="103" t="s">
        <v>59</v>
      </c>
      <c r="M19" s="103" t="s">
        <v>59</v>
      </c>
      <c r="N19" s="103" t="s">
        <v>59</v>
      </c>
      <c r="O19" s="103" t="s">
        <v>59</v>
      </c>
      <c r="P19" s="103" t="s">
        <v>60</v>
      </c>
      <c r="Q19" s="103" t="s">
        <v>60</v>
      </c>
      <c r="R19" s="103" t="s">
        <v>60</v>
      </c>
      <c r="S19" s="103" t="s">
        <v>60</v>
      </c>
      <c r="T19" s="103" t="s">
        <v>59</v>
      </c>
      <c r="U19" s="103" t="s">
        <v>59</v>
      </c>
      <c r="V19" s="103" t="s">
        <v>59</v>
      </c>
      <c r="W19" s="103" t="s">
        <v>59</v>
      </c>
      <c r="X19" s="103" t="s">
        <v>60</v>
      </c>
      <c r="Y19" s="103" t="s">
        <v>60</v>
      </c>
      <c r="Z19" s="103" t="s">
        <v>60</v>
      </c>
      <c r="AA19" s="103" t="s">
        <v>60</v>
      </c>
      <c r="AB19" s="103" t="s">
        <v>59</v>
      </c>
      <c r="AC19" s="103" t="s">
        <v>59</v>
      </c>
      <c r="AD19" s="103" t="s">
        <v>59</v>
      </c>
      <c r="AE19" s="103" t="s">
        <v>59</v>
      </c>
      <c r="AF19" s="103" t="s">
        <v>60</v>
      </c>
      <c r="AG19" s="103" t="s">
        <v>60</v>
      </c>
      <c r="AH19" s="103" t="s">
        <v>60</v>
      </c>
      <c r="AI19" s="103" t="s">
        <v>60</v>
      </c>
      <c r="AJ19" s="103" t="s">
        <v>60</v>
      </c>
      <c r="AK19" s="103" t="s">
        <v>60</v>
      </c>
      <c r="AL19" s="103" t="s">
        <v>60</v>
      </c>
      <c r="AM19" s="103" t="s">
        <v>60</v>
      </c>
      <c r="AN19" s="103" t="s">
        <v>59</v>
      </c>
      <c r="AO19" s="103" t="s">
        <v>59</v>
      </c>
      <c r="AP19" s="103" t="s">
        <v>59</v>
      </c>
      <c r="AQ19" s="103" t="s">
        <v>59</v>
      </c>
      <c r="AR19" s="104">
        <f t="shared" si="1"/>
        <v>16</v>
      </c>
      <c r="AS19" s="104"/>
      <c r="AT19" s="104">
        <v>16.0</v>
      </c>
      <c r="AU19" s="105"/>
      <c r="AV19" s="3"/>
      <c r="AW19" s="106">
        <f>IF(AR19=" "," ",AR19/BC4)</f>
        <v>0.1</v>
      </c>
      <c r="AX19" s="97" t="str">
        <f t="shared" si="2"/>
        <v>NORMAL </v>
      </c>
      <c r="AY19" s="3"/>
      <c r="AZ19" s="3"/>
      <c r="BA19" s="3"/>
      <c r="BB19" s="3"/>
      <c r="BC19" s="3"/>
    </row>
    <row r="20" ht="12.75" customHeight="1">
      <c r="A20" s="100">
        <v>17.0</v>
      </c>
      <c r="B20" s="101" t="s">
        <v>76</v>
      </c>
      <c r="C20" s="107"/>
      <c r="D20" s="103" t="s">
        <v>59</v>
      </c>
      <c r="E20" s="103" t="s">
        <v>59</v>
      </c>
      <c r="F20" s="103" t="s">
        <v>59</v>
      </c>
      <c r="G20" s="103" t="s">
        <v>59</v>
      </c>
      <c r="H20" s="103" t="s">
        <v>59</v>
      </c>
      <c r="I20" s="103" t="s">
        <v>59</v>
      </c>
      <c r="J20" s="103" t="s">
        <v>59</v>
      </c>
      <c r="K20" s="103" t="s">
        <v>59</v>
      </c>
      <c r="L20" s="103" t="s">
        <v>60</v>
      </c>
      <c r="M20" s="103" t="s">
        <v>60</v>
      </c>
      <c r="N20" s="103" t="s">
        <v>60</v>
      </c>
      <c r="O20" s="103" t="s">
        <v>60</v>
      </c>
      <c r="P20" s="103" t="s">
        <v>60</v>
      </c>
      <c r="Q20" s="103" t="s">
        <v>60</v>
      </c>
      <c r="R20" s="103" t="s">
        <v>60</v>
      </c>
      <c r="S20" s="103" t="s">
        <v>60</v>
      </c>
      <c r="T20" s="103" t="s">
        <v>60</v>
      </c>
      <c r="U20" s="103" t="s">
        <v>60</v>
      </c>
      <c r="V20" s="103" t="s">
        <v>60</v>
      </c>
      <c r="W20" s="103" t="s">
        <v>60</v>
      </c>
      <c r="X20" s="103" t="s">
        <v>60</v>
      </c>
      <c r="Y20" s="103" t="s">
        <v>60</v>
      </c>
      <c r="Z20" s="103" t="s">
        <v>60</v>
      </c>
      <c r="AA20" s="103" t="s">
        <v>60</v>
      </c>
      <c r="AB20" s="103" t="s">
        <v>60</v>
      </c>
      <c r="AC20" s="103" t="s">
        <v>60</v>
      </c>
      <c r="AD20" s="103" t="s">
        <v>60</v>
      </c>
      <c r="AE20" s="103" t="s">
        <v>60</v>
      </c>
      <c r="AF20" s="103" t="s">
        <v>60</v>
      </c>
      <c r="AG20" s="103" t="s">
        <v>60</v>
      </c>
      <c r="AH20" s="103" t="s">
        <v>60</v>
      </c>
      <c r="AI20" s="103" t="s">
        <v>60</v>
      </c>
      <c r="AJ20" s="103" t="s">
        <v>60</v>
      </c>
      <c r="AK20" s="103" t="s">
        <v>60</v>
      </c>
      <c r="AL20" s="103" t="s">
        <v>60</v>
      </c>
      <c r="AM20" s="103" t="s">
        <v>60</v>
      </c>
      <c r="AN20" s="103" t="s">
        <v>60</v>
      </c>
      <c r="AO20" s="103" t="s">
        <v>60</v>
      </c>
      <c r="AP20" s="103" t="s">
        <v>60</v>
      </c>
      <c r="AQ20" s="103" t="s">
        <v>60</v>
      </c>
      <c r="AR20" s="104">
        <f t="shared" si="1"/>
        <v>32</v>
      </c>
      <c r="AS20" s="104"/>
      <c r="AT20" s="104">
        <v>17.0</v>
      </c>
      <c r="AU20" s="105"/>
      <c r="AV20" s="3"/>
      <c r="AW20" s="106">
        <f>IF(AR20=" "," ",AR20/BC4)</f>
        <v>0.2</v>
      </c>
      <c r="AX20" s="97" t="str">
        <f t="shared" si="2"/>
        <v>NORMAL </v>
      </c>
      <c r="AY20" s="3"/>
      <c r="AZ20" s="3"/>
      <c r="BA20" s="3"/>
      <c r="BB20" s="3"/>
      <c r="BC20" s="3"/>
    </row>
    <row r="21" ht="12.75" customHeight="1">
      <c r="A21" s="100">
        <v>18.0</v>
      </c>
      <c r="B21" s="101" t="s">
        <v>77</v>
      </c>
      <c r="C21" s="107"/>
      <c r="D21" s="103" t="s">
        <v>59</v>
      </c>
      <c r="E21" s="103" t="s">
        <v>59</v>
      </c>
      <c r="F21" s="103" t="s">
        <v>59</v>
      </c>
      <c r="G21" s="103" t="s">
        <v>59</v>
      </c>
      <c r="H21" s="103" t="s">
        <v>59</v>
      </c>
      <c r="I21" s="103" t="s">
        <v>59</v>
      </c>
      <c r="J21" s="103" t="s">
        <v>59</v>
      </c>
      <c r="K21" s="103" t="s">
        <v>59</v>
      </c>
      <c r="L21" s="103" t="s">
        <v>59</v>
      </c>
      <c r="M21" s="103" t="s">
        <v>59</v>
      </c>
      <c r="N21" s="103" t="s">
        <v>59</v>
      </c>
      <c r="O21" s="103" t="s">
        <v>59</v>
      </c>
      <c r="P21" s="103" t="s">
        <v>59</v>
      </c>
      <c r="Q21" s="103" t="s">
        <v>59</v>
      </c>
      <c r="R21" s="103" t="s">
        <v>59</v>
      </c>
      <c r="S21" s="103" t="s">
        <v>59</v>
      </c>
      <c r="T21" s="103" t="s">
        <v>59</v>
      </c>
      <c r="U21" s="103" t="s">
        <v>59</v>
      </c>
      <c r="V21" s="103" t="s">
        <v>59</v>
      </c>
      <c r="W21" s="103" t="s">
        <v>59</v>
      </c>
      <c r="X21" s="103" t="s">
        <v>60</v>
      </c>
      <c r="Y21" s="103" t="s">
        <v>60</v>
      </c>
      <c r="Z21" s="103" t="s">
        <v>60</v>
      </c>
      <c r="AA21" s="103" t="s">
        <v>60</v>
      </c>
      <c r="AB21" s="103" t="s">
        <v>60</v>
      </c>
      <c r="AC21" s="103" t="s">
        <v>60</v>
      </c>
      <c r="AD21" s="103" t="s">
        <v>60</v>
      </c>
      <c r="AE21" s="103" t="s">
        <v>60</v>
      </c>
      <c r="AF21" s="103" t="s">
        <v>59</v>
      </c>
      <c r="AG21" s="103" t="s">
        <v>59</v>
      </c>
      <c r="AH21" s="103" t="s">
        <v>59</v>
      </c>
      <c r="AI21" s="103" t="s">
        <v>59</v>
      </c>
      <c r="AJ21" s="103" t="s">
        <v>59</v>
      </c>
      <c r="AK21" s="103" t="s">
        <v>59</v>
      </c>
      <c r="AL21" s="103" t="s">
        <v>59</v>
      </c>
      <c r="AM21" s="103" t="s">
        <v>59</v>
      </c>
      <c r="AN21" s="103" t="s">
        <v>59</v>
      </c>
      <c r="AO21" s="103" t="s">
        <v>59</v>
      </c>
      <c r="AP21" s="103" t="s">
        <v>59</v>
      </c>
      <c r="AQ21" s="103" t="s">
        <v>59</v>
      </c>
      <c r="AR21" s="104">
        <f t="shared" si="1"/>
        <v>8</v>
      </c>
      <c r="AS21" s="104"/>
      <c r="AT21" s="104">
        <v>18.0</v>
      </c>
      <c r="AU21" s="105"/>
      <c r="AV21" s="3"/>
      <c r="AW21" s="106">
        <f>IF(AR21=" "," ",AR21/BC4)</f>
        <v>0.05</v>
      </c>
      <c r="AX21" s="97" t="str">
        <f t="shared" si="2"/>
        <v>NORMAL </v>
      </c>
      <c r="AY21" s="3"/>
      <c r="AZ21" s="3"/>
      <c r="BA21" s="3"/>
      <c r="BB21" s="3"/>
      <c r="BC21" s="3"/>
    </row>
    <row r="22" ht="12.75" customHeight="1">
      <c r="A22" s="108">
        <v>19.0</v>
      </c>
      <c r="B22" s="101" t="s">
        <v>78</v>
      </c>
      <c r="C22" s="107"/>
      <c r="D22" s="103" t="s">
        <v>59</v>
      </c>
      <c r="E22" s="103" t="s">
        <v>59</v>
      </c>
      <c r="F22" s="103" t="s">
        <v>59</v>
      </c>
      <c r="G22" s="103" t="s">
        <v>59</v>
      </c>
      <c r="H22" s="103" t="s">
        <v>59</v>
      </c>
      <c r="I22" s="103" t="s">
        <v>59</v>
      </c>
      <c r="J22" s="103" t="s">
        <v>59</v>
      </c>
      <c r="K22" s="103" t="s">
        <v>59</v>
      </c>
      <c r="L22" s="103" t="s">
        <v>60</v>
      </c>
      <c r="M22" s="103" t="s">
        <v>60</v>
      </c>
      <c r="N22" s="103" t="s">
        <v>60</v>
      </c>
      <c r="O22" s="103" t="s">
        <v>60</v>
      </c>
      <c r="P22" s="103" t="s">
        <v>59</v>
      </c>
      <c r="Q22" s="103" t="s">
        <v>59</v>
      </c>
      <c r="R22" s="103" t="s">
        <v>59</v>
      </c>
      <c r="S22" s="103" t="s">
        <v>59</v>
      </c>
      <c r="T22" s="103" t="s">
        <v>60</v>
      </c>
      <c r="U22" s="103" t="s">
        <v>60</v>
      </c>
      <c r="V22" s="103" t="s">
        <v>60</v>
      </c>
      <c r="W22" s="103" t="s">
        <v>60</v>
      </c>
      <c r="X22" s="103" t="s">
        <v>59</v>
      </c>
      <c r="Y22" s="103" t="s">
        <v>59</v>
      </c>
      <c r="Z22" s="103" t="s">
        <v>59</v>
      </c>
      <c r="AA22" s="103" t="s">
        <v>59</v>
      </c>
      <c r="AB22" s="103" t="s">
        <v>59</v>
      </c>
      <c r="AC22" s="103" t="s">
        <v>59</v>
      </c>
      <c r="AD22" s="103" t="s">
        <v>59</v>
      </c>
      <c r="AE22" s="103" t="s">
        <v>59</v>
      </c>
      <c r="AF22" s="103" t="s">
        <v>59</v>
      </c>
      <c r="AG22" s="103" t="s">
        <v>59</v>
      </c>
      <c r="AH22" s="103" t="s">
        <v>59</v>
      </c>
      <c r="AI22" s="103" t="s">
        <v>59</v>
      </c>
      <c r="AJ22" s="103" t="s">
        <v>59</v>
      </c>
      <c r="AK22" s="103" t="s">
        <v>59</v>
      </c>
      <c r="AL22" s="103" t="s">
        <v>59</v>
      </c>
      <c r="AM22" s="103" t="s">
        <v>59</v>
      </c>
      <c r="AN22" s="103" t="s">
        <v>60</v>
      </c>
      <c r="AO22" s="103" t="s">
        <v>60</v>
      </c>
      <c r="AP22" s="103" t="s">
        <v>60</v>
      </c>
      <c r="AQ22" s="103" t="s">
        <v>60</v>
      </c>
      <c r="AR22" s="104">
        <f t="shared" si="1"/>
        <v>12</v>
      </c>
      <c r="AS22" s="104"/>
      <c r="AT22" s="104">
        <v>19.0</v>
      </c>
      <c r="AU22" s="105"/>
      <c r="AV22" s="3"/>
      <c r="AW22" s="106">
        <f>IF(AR22=" "," ",AR22/BC4)</f>
        <v>0.075</v>
      </c>
      <c r="AX22" s="97" t="str">
        <f t="shared" si="2"/>
        <v>NORMAL </v>
      </c>
      <c r="AY22" s="3"/>
      <c r="AZ22" s="3"/>
      <c r="BA22" s="3"/>
      <c r="BB22" s="3"/>
      <c r="BC22" s="3"/>
    </row>
    <row r="23" ht="12.75" customHeight="1">
      <c r="A23" s="100">
        <v>20.0</v>
      </c>
      <c r="B23" s="101" t="s">
        <v>79</v>
      </c>
      <c r="C23" s="107"/>
      <c r="D23" s="103" t="s">
        <v>59</v>
      </c>
      <c r="E23" s="103" t="s">
        <v>59</v>
      </c>
      <c r="F23" s="103" t="s">
        <v>59</v>
      </c>
      <c r="G23" s="103" t="s">
        <v>59</v>
      </c>
      <c r="H23" s="103" t="s">
        <v>59</v>
      </c>
      <c r="I23" s="103" t="s">
        <v>59</v>
      </c>
      <c r="J23" s="103" t="s">
        <v>59</v>
      </c>
      <c r="K23" s="103" t="s">
        <v>59</v>
      </c>
      <c r="L23" s="103" t="s">
        <v>59</v>
      </c>
      <c r="M23" s="103" t="s">
        <v>59</v>
      </c>
      <c r="N23" s="103" t="s">
        <v>59</v>
      </c>
      <c r="O23" s="103" t="s">
        <v>59</v>
      </c>
      <c r="P23" s="103" t="s">
        <v>59</v>
      </c>
      <c r="Q23" s="103" t="s">
        <v>59</v>
      </c>
      <c r="R23" s="103" t="s">
        <v>59</v>
      </c>
      <c r="S23" s="103" t="s">
        <v>59</v>
      </c>
      <c r="T23" s="103" t="s">
        <v>59</v>
      </c>
      <c r="U23" s="103" t="s">
        <v>59</v>
      </c>
      <c r="V23" s="103" t="s">
        <v>59</v>
      </c>
      <c r="W23" s="103" t="s">
        <v>59</v>
      </c>
      <c r="X23" s="103" t="s">
        <v>60</v>
      </c>
      <c r="Y23" s="103" t="s">
        <v>60</v>
      </c>
      <c r="Z23" s="103" t="s">
        <v>60</v>
      </c>
      <c r="AA23" s="103" t="s">
        <v>60</v>
      </c>
      <c r="AB23" s="103" t="s">
        <v>59</v>
      </c>
      <c r="AC23" s="103" t="s">
        <v>59</v>
      </c>
      <c r="AD23" s="103" t="s">
        <v>59</v>
      </c>
      <c r="AE23" s="103" t="s">
        <v>59</v>
      </c>
      <c r="AF23" s="103" t="s">
        <v>59</v>
      </c>
      <c r="AG23" s="103" t="s">
        <v>59</v>
      </c>
      <c r="AH23" s="103" t="s">
        <v>59</v>
      </c>
      <c r="AI23" s="103" t="s">
        <v>59</v>
      </c>
      <c r="AJ23" s="103" t="s">
        <v>59</v>
      </c>
      <c r="AK23" s="103" t="s">
        <v>59</v>
      </c>
      <c r="AL23" s="103" t="s">
        <v>59</v>
      </c>
      <c r="AM23" s="103" t="s">
        <v>59</v>
      </c>
      <c r="AN23" s="103" t="s">
        <v>59</v>
      </c>
      <c r="AO23" s="103" t="s">
        <v>59</v>
      </c>
      <c r="AP23" s="103" t="s">
        <v>59</v>
      </c>
      <c r="AQ23" s="103" t="s">
        <v>59</v>
      </c>
      <c r="AR23" s="104">
        <f t="shared" si="1"/>
        <v>4</v>
      </c>
      <c r="AS23" s="104"/>
      <c r="AT23" s="109">
        <v>20.0</v>
      </c>
      <c r="AU23" s="105"/>
      <c r="AV23" s="3"/>
      <c r="AW23" s="106">
        <f>IF(AR23=" "," ",AR23/BC4)</f>
        <v>0.025</v>
      </c>
      <c r="AX23" s="97" t="str">
        <f t="shared" si="2"/>
        <v>NORMAL </v>
      </c>
      <c r="AY23" s="3"/>
      <c r="AZ23" s="3"/>
      <c r="BA23" s="3"/>
      <c r="BB23" s="3"/>
      <c r="BC23" s="3"/>
    </row>
    <row r="24" ht="12.75" customHeight="1">
      <c r="A24" s="100">
        <v>21.0</v>
      </c>
      <c r="B24" s="101" t="s">
        <v>80</v>
      </c>
      <c r="C24" s="107"/>
      <c r="D24" s="103" t="s">
        <v>59</v>
      </c>
      <c r="E24" s="103" t="s">
        <v>59</v>
      </c>
      <c r="F24" s="103" t="s">
        <v>59</v>
      </c>
      <c r="G24" s="103" t="s">
        <v>59</v>
      </c>
      <c r="H24" s="103" t="s">
        <v>59</v>
      </c>
      <c r="I24" s="103" t="s">
        <v>59</v>
      </c>
      <c r="J24" s="103" t="s">
        <v>59</v>
      </c>
      <c r="K24" s="103" t="s">
        <v>59</v>
      </c>
      <c r="L24" s="103" t="s">
        <v>59</v>
      </c>
      <c r="M24" s="103" t="s">
        <v>59</v>
      </c>
      <c r="N24" s="103" t="s">
        <v>59</v>
      </c>
      <c r="O24" s="103" t="s">
        <v>59</v>
      </c>
      <c r="P24" s="103" t="s">
        <v>59</v>
      </c>
      <c r="Q24" s="103" t="s">
        <v>59</v>
      </c>
      <c r="R24" s="103" t="s">
        <v>59</v>
      </c>
      <c r="S24" s="103" t="s">
        <v>59</v>
      </c>
      <c r="T24" s="103" t="s">
        <v>59</v>
      </c>
      <c r="U24" s="103" t="s">
        <v>59</v>
      </c>
      <c r="V24" s="103" t="s">
        <v>59</v>
      </c>
      <c r="W24" s="103" t="s">
        <v>59</v>
      </c>
      <c r="X24" s="103" t="s">
        <v>59</v>
      </c>
      <c r="Y24" s="103" t="s">
        <v>59</v>
      </c>
      <c r="Z24" s="103" t="s">
        <v>59</v>
      </c>
      <c r="AA24" s="103" t="s">
        <v>59</v>
      </c>
      <c r="AB24" s="103" t="s">
        <v>59</v>
      </c>
      <c r="AC24" s="103" t="s">
        <v>59</v>
      </c>
      <c r="AD24" s="103" t="s">
        <v>59</v>
      </c>
      <c r="AE24" s="103" t="s">
        <v>59</v>
      </c>
      <c r="AF24" s="103" t="s">
        <v>59</v>
      </c>
      <c r="AG24" s="103" t="s">
        <v>59</v>
      </c>
      <c r="AH24" s="103" t="s">
        <v>59</v>
      </c>
      <c r="AI24" s="103" t="s">
        <v>59</v>
      </c>
      <c r="AJ24" s="103" t="s">
        <v>60</v>
      </c>
      <c r="AK24" s="103" t="s">
        <v>60</v>
      </c>
      <c r="AL24" s="103" t="s">
        <v>60</v>
      </c>
      <c r="AM24" s="103" t="s">
        <v>60</v>
      </c>
      <c r="AN24" s="103" t="s">
        <v>60</v>
      </c>
      <c r="AO24" s="103" t="s">
        <v>60</v>
      </c>
      <c r="AP24" s="103" t="s">
        <v>60</v>
      </c>
      <c r="AQ24" s="103" t="s">
        <v>60</v>
      </c>
      <c r="AR24" s="104">
        <f t="shared" si="1"/>
        <v>8</v>
      </c>
      <c r="AS24" s="104"/>
      <c r="AT24" s="109">
        <v>21.0</v>
      </c>
      <c r="AU24" s="105"/>
      <c r="AV24" s="3"/>
      <c r="AW24" s="106">
        <f>IF(AR24=" "," ",AR24/BC4)</f>
        <v>0.05</v>
      </c>
      <c r="AX24" s="97" t="str">
        <f t="shared" si="2"/>
        <v>NORMAL </v>
      </c>
      <c r="AY24" s="3"/>
      <c r="AZ24" s="3"/>
      <c r="BA24" s="3"/>
      <c r="BB24" s="3"/>
      <c r="BC24" s="3"/>
    </row>
    <row r="25" ht="12.75" customHeight="1">
      <c r="A25" s="108">
        <v>22.0</v>
      </c>
      <c r="B25" s="101" t="s">
        <v>81</v>
      </c>
      <c r="C25" s="107"/>
      <c r="D25" s="103" t="s">
        <v>59</v>
      </c>
      <c r="E25" s="103" t="s">
        <v>59</v>
      </c>
      <c r="F25" s="103" t="s">
        <v>59</v>
      </c>
      <c r="G25" s="103" t="s">
        <v>59</v>
      </c>
      <c r="H25" s="103" t="s">
        <v>59</v>
      </c>
      <c r="I25" s="103" t="s">
        <v>59</v>
      </c>
      <c r="J25" s="103" t="s">
        <v>59</v>
      </c>
      <c r="K25" s="103" t="s">
        <v>59</v>
      </c>
      <c r="L25" s="103" t="s">
        <v>59</v>
      </c>
      <c r="M25" s="103" t="s">
        <v>59</v>
      </c>
      <c r="N25" s="103" t="s">
        <v>59</v>
      </c>
      <c r="O25" s="103" t="s">
        <v>59</v>
      </c>
      <c r="P25" s="103" t="s">
        <v>59</v>
      </c>
      <c r="Q25" s="103" t="s">
        <v>59</v>
      </c>
      <c r="R25" s="103" t="s">
        <v>59</v>
      </c>
      <c r="S25" s="103" t="s">
        <v>59</v>
      </c>
      <c r="T25" s="103" t="s">
        <v>59</v>
      </c>
      <c r="U25" s="103" t="s">
        <v>59</v>
      </c>
      <c r="V25" s="103" t="s">
        <v>59</v>
      </c>
      <c r="W25" s="103" t="s">
        <v>59</v>
      </c>
      <c r="X25" s="103" t="s">
        <v>59</v>
      </c>
      <c r="Y25" s="103" t="s">
        <v>59</v>
      </c>
      <c r="Z25" s="103" t="s">
        <v>59</v>
      </c>
      <c r="AA25" s="103" t="s">
        <v>59</v>
      </c>
      <c r="AB25" s="103" t="s">
        <v>59</v>
      </c>
      <c r="AC25" s="103" t="s">
        <v>59</v>
      </c>
      <c r="AD25" s="103" t="s">
        <v>59</v>
      </c>
      <c r="AE25" s="103" t="s">
        <v>59</v>
      </c>
      <c r="AF25" s="103" t="s">
        <v>59</v>
      </c>
      <c r="AG25" s="103" t="s">
        <v>59</v>
      </c>
      <c r="AH25" s="103" t="s">
        <v>59</v>
      </c>
      <c r="AI25" s="103" t="s">
        <v>59</v>
      </c>
      <c r="AJ25" s="103" t="s">
        <v>60</v>
      </c>
      <c r="AK25" s="103" t="s">
        <v>60</v>
      </c>
      <c r="AL25" s="103" t="s">
        <v>60</v>
      </c>
      <c r="AM25" s="103" t="s">
        <v>60</v>
      </c>
      <c r="AN25" s="103" t="s">
        <v>59</v>
      </c>
      <c r="AO25" s="103" t="s">
        <v>59</v>
      </c>
      <c r="AP25" s="103" t="s">
        <v>59</v>
      </c>
      <c r="AQ25" s="103" t="s">
        <v>59</v>
      </c>
      <c r="AR25" s="104">
        <f t="shared" si="1"/>
        <v>4</v>
      </c>
      <c r="AS25" s="104"/>
      <c r="AT25" s="109">
        <v>22.0</v>
      </c>
      <c r="AU25" s="105"/>
      <c r="AV25" s="3"/>
      <c r="AW25" s="106">
        <f>IF(AR25=" "," ",AR25/BC4)</f>
        <v>0.025</v>
      </c>
      <c r="AX25" s="97" t="str">
        <f t="shared" si="2"/>
        <v>NORMAL </v>
      </c>
      <c r="AY25" s="3"/>
      <c r="AZ25" s="3"/>
      <c r="BA25" s="3"/>
      <c r="BB25" s="3"/>
      <c r="BC25" s="3"/>
    </row>
    <row r="26" ht="12.75" customHeight="1">
      <c r="A26" s="100">
        <v>23.0</v>
      </c>
      <c r="B26" s="101" t="s">
        <v>82</v>
      </c>
      <c r="C26" s="110"/>
      <c r="D26" s="103" t="s">
        <v>59</v>
      </c>
      <c r="E26" s="103" t="s">
        <v>59</v>
      </c>
      <c r="F26" s="103" t="s">
        <v>59</v>
      </c>
      <c r="G26" s="103" t="s">
        <v>59</v>
      </c>
      <c r="H26" s="103" t="s">
        <v>59</v>
      </c>
      <c r="I26" s="103" t="s">
        <v>59</v>
      </c>
      <c r="J26" s="103" t="s">
        <v>59</v>
      </c>
      <c r="K26" s="103" t="s">
        <v>59</v>
      </c>
      <c r="L26" s="103" t="s">
        <v>59</v>
      </c>
      <c r="M26" s="103" t="s">
        <v>59</v>
      </c>
      <c r="N26" s="103" t="s">
        <v>59</v>
      </c>
      <c r="O26" s="103" t="s">
        <v>59</v>
      </c>
      <c r="P26" s="103" t="s">
        <v>59</v>
      </c>
      <c r="Q26" s="103" t="s">
        <v>59</v>
      </c>
      <c r="R26" s="103" t="s">
        <v>59</v>
      </c>
      <c r="S26" s="103" t="s">
        <v>59</v>
      </c>
      <c r="T26" s="103" t="s">
        <v>59</v>
      </c>
      <c r="U26" s="103" t="s">
        <v>59</v>
      </c>
      <c r="V26" s="103" t="s">
        <v>59</v>
      </c>
      <c r="W26" s="103" t="s">
        <v>59</v>
      </c>
      <c r="X26" s="103" t="s">
        <v>59</v>
      </c>
      <c r="Y26" s="103" t="s">
        <v>59</v>
      </c>
      <c r="Z26" s="103" t="s">
        <v>59</v>
      </c>
      <c r="AA26" s="103" t="s">
        <v>59</v>
      </c>
      <c r="AB26" s="103" t="s">
        <v>59</v>
      </c>
      <c r="AC26" s="103" t="s">
        <v>59</v>
      </c>
      <c r="AD26" s="103" t="s">
        <v>59</v>
      </c>
      <c r="AE26" s="103" t="s">
        <v>59</v>
      </c>
      <c r="AF26" s="103" t="s">
        <v>59</v>
      </c>
      <c r="AG26" s="103" t="s">
        <v>59</v>
      </c>
      <c r="AH26" s="103" t="s">
        <v>59</v>
      </c>
      <c r="AI26" s="103" t="s">
        <v>59</v>
      </c>
      <c r="AJ26" s="103" t="s">
        <v>59</v>
      </c>
      <c r="AK26" s="103" t="s">
        <v>59</v>
      </c>
      <c r="AL26" s="103" t="s">
        <v>59</v>
      </c>
      <c r="AM26" s="103" t="s">
        <v>59</v>
      </c>
      <c r="AN26" s="103" t="s">
        <v>59</v>
      </c>
      <c r="AO26" s="103" t="s">
        <v>59</v>
      </c>
      <c r="AP26" s="103" t="s">
        <v>59</v>
      </c>
      <c r="AQ26" s="103" t="s">
        <v>59</v>
      </c>
      <c r="AR26" s="104">
        <f t="shared" si="1"/>
        <v>0</v>
      </c>
      <c r="AS26" s="104"/>
      <c r="AT26" s="109">
        <v>23.0</v>
      </c>
      <c r="AU26" s="105"/>
      <c r="AV26" s="3"/>
      <c r="AW26" s="106">
        <f>IF(AR26=" "," ",AR26/BC4)</f>
        <v>0</v>
      </c>
      <c r="AX26" s="97" t="str">
        <f t="shared" si="2"/>
        <v>NORMAL </v>
      </c>
      <c r="AY26" s="3"/>
      <c r="AZ26" s="3"/>
      <c r="BA26" s="3"/>
      <c r="BB26" s="3"/>
      <c r="BC26" s="3"/>
    </row>
    <row r="27" ht="12.75" customHeight="1">
      <c r="A27" s="100">
        <v>24.0</v>
      </c>
      <c r="B27" s="101" t="s">
        <v>83</v>
      </c>
      <c r="C27" s="110"/>
      <c r="D27" s="103" t="s">
        <v>60</v>
      </c>
      <c r="E27" s="103" t="s">
        <v>60</v>
      </c>
      <c r="F27" s="103" t="s">
        <v>60</v>
      </c>
      <c r="G27" s="103" t="s">
        <v>60</v>
      </c>
      <c r="H27" s="103" t="s">
        <v>59</v>
      </c>
      <c r="I27" s="103" t="s">
        <v>59</v>
      </c>
      <c r="J27" s="103" t="s">
        <v>59</v>
      </c>
      <c r="K27" s="103" t="s">
        <v>59</v>
      </c>
      <c r="L27" s="103" t="s">
        <v>59</v>
      </c>
      <c r="M27" s="103" t="s">
        <v>59</v>
      </c>
      <c r="N27" s="103" t="s">
        <v>59</v>
      </c>
      <c r="O27" s="103" t="s">
        <v>59</v>
      </c>
      <c r="P27" s="103" t="s">
        <v>59</v>
      </c>
      <c r="Q27" s="103" t="s">
        <v>59</v>
      </c>
      <c r="R27" s="103" t="s">
        <v>59</v>
      </c>
      <c r="S27" s="103" t="s">
        <v>59</v>
      </c>
      <c r="T27" s="103" t="s">
        <v>59</v>
      </c>
      <c r="U27" s="103" t="s">
        <v>59</v>
      </c>
      <c r="V27" s="103" t="s">
        <v>59</v>
      </c>
      <c r="W27" s="103" t="s">
        <v>59</v>
      </c>
      <c r="X27" s="103" t="s">
        <v>60</v>
      </c>
      <c r="Y27" s="103" t="s">
        <v>60</v>
      </c>
      <c r="Z27" s="103" t="s">
        <v>60</v>
      </c>
      <c r="AA27" s="103" t="s">
        <v>60</v>
      </c>
      <c r="AB27" s="103" t="s">
        <v>60</v>
      </c>
      <c r="AC27" s="103" t="s">
        <v>60</v>
      </c>
      <c r="AD27" s="103" t="s">
        <v>60</v>
      </c>
      <c r="AE27" s="103" t="s">
        <v>60</v>
      </c>
      <c r="AF27" s="103" t="s">
        <v>60</v>
      </c>
      <c r="AG27" s="103" t="s">
        <v>60</v>
      </c>
      <c r="AH27" s="103" t="s">
        <v>60</v>
      </c>
      <c r="AI27" s="103" t="s">
        <v>60</v>
      </c>
      <c r="AJ27" s="103" t="s">
        <v>60</v>
      </c>
      <c r="AK27" s="103" t="s">
        <v>60</v>
      </c>
      <c r="AL27" s="103" t="s">
        <v>60</v>
      </c>
      <c r="AM27" s="103" t="s">
        <v>60</v>
      </c>
      <c r="AN27" s="103" t="s">
        <v>60</v>
      </c>
      <c r="AO27" s="103" t="s">
        <v>60</v>
      </c>
      <c r="AP27" s="103" t="s">
        <v>60</v>
      </c>
      <c r="AQ27" s="103" t="s">
        <v>60</v>
      </c>
      <c r="AR27" s="104">
        <f t="shared" si="1"/>
        <v>24</v>
      </c>
      <c r="AS27" s="104"/>
      <c r="AT27" s="109">
        <v>24.0</v>
      </c>
      <c r="AU27" s="105"/>
      <c r="AV27" s="3"/>
      <c r="AW27" s="106">
        <f>IF(AR27=" "," ",AR27/BC4)</f>
        <v>0.15</v>
      </c>
      <c r="AX27" s="97" t="str">
        <f t="shared" si="2"/>
        <v>NORMAL </v>
      </c>
      <c r="AY27" s="3"/>
      <c r="AZ27" s="3"/>
      <c r="BA27" s="3"/>
      <c r="BB27" s="3"/>
      <c r="BC27" s="3"/>
    </row>
    <row r="28" ht="12.75" customHeight="1">
      <c r="A28" s="108">
        <v>25.0</v>
      </c>
      <c r="B28" s="111"/>
      <c r="C28" s="112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04"/>
      <c r="AS28" s="104"/>
      <c r="AT28" s="104"/>
      <c r="AU28" s="105"/>
      <c r="AV28" s="3"/>
      <c r="AW28" s="106">
        <f>IF(AR28=" "," ",AR28/BC4)</f>
        <v>0</v>
      </c>
      <c r="AX28" s="97" t="str">
        <f t="shared" si="2"/>
        <v>NORMAL </v>
      </c>
      <c r="AY28" s="3"/>
      <c r="AZ28" s="3"/>
      <c r="BA28" s="3"/>
      <c r="BB28" s="3"/>
      <c r="BC28" s="3"/>
    </row>
    <row r="29" ht="12.75" customHeight="1">
      <c r="A29" s="100">
        <v>26.0</v>
      </c>
      <c r="B29" s="111"/>
      <c r="C29" s="112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04"/>
      <c r="AS29" s="104"/>
      <c r="AT29" s="104"/>
      <c r="AU29" s="105"/>
      <c r="AV29" s="3"/>
      <c r="AW29" s="106">
        <f>IF(AR29=" "," ",AR29/BC4)</f>
        <v>0</v>
      </c>
      <c r="AX29" s="97" t="str">
        <f t="shared" si="2"/>
        <v>NORMAL </v>
      </c>
      <c r="AY29" s="3"/>
      <c r="AZ29" s="3"/>
      <c r="BA29" s="3"/>
      <c r="BB29" s="3"/>
      <c r="BC29" s="3"/>
    </row>
    <row r="30" ht="12.75" customHeight="1">
      <c r="A30" s="100">
        <v>27.0</v>
      </c>
      <c r="B30" s="111"/>
      <c r="C30" s="112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04"/>
      <c r="AS30" s="104"/>
      <c r="AT30" s="104"/>
      <c r="AU30" s="105"/>
      <c r="AV30" s="3"/>
      <c r="AW30" s="106">
        <f>IF(AR30=" "," ",AR30/BC4)</f>
        <v>0</v>
      </c>
      <c r="AX30" s="97" t="str">
        <f t="shared" si="2"/>
        <v>NORMAL </v>
      </c>
      <c r="AY30" s="3"/>
      <c r="AZ30" s="3"/>
      <c r="BA30" s="3"/>
      <c r="BB30" s="3"/>
      <c r="BC30" s="3"/>
    </row>
    <row r="31" ht="12.75" customHeight="1">
      <c r="A31" s="108">
        <v>28.0</v>
      </c>
      <c r="B31" s="111"/>
      <c r="C31" s="112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04"/>
      <c r="AS31" s="104"/>
      <c r="AT31" s="104"/>
      <c r="AU31" s="105"/>
      <c r="AV31" s="3"/>
      <c r="AW31" s="106">
        <f>IF(AR31=" "," ",AR31/BC4)</f>
        <v>0</v>
      </c>
      <c r="AX31" s="97" t="str">
        <f t="shared" si="2"/>
        <v>NORMAL </v>
      </c>
      <c r="AY31" s="3"/>
      <c r="AZ31" s="3"/>
      <c r="BA31" s="3"/>
      <c r="BB31" s="3"/>
      <c r="BC31" s="3"/>
    </row>
    <row r="32" ht="12.75" customHeight="1">
      <c r="A32" s="100">
        <v>29.0</v>
      </c>
      <c r="B32" s="111"/>
      <c r="C32" s="112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04"/>
      <c r="AS32" s="104"/>
      <c r="AT32" s="104"/>
      <c r="AU32" s="105"/>
      <c r="AV32" s="3"/>
      <c r="AW32" s="106">
        <f>IF(AR32=" "," ",AR32/BC4)</f>
        <v>0</v>
      </c>
      <c r="AX32" s="97" t="str">
        <f t="shared" si="2"/>
        <v>NORMAL </v>
      </c>
      <c r="AY32" s="3"/>
      <c r="AZ32" s="3"/>
      <c r="BA32" s="3"/>
      <c r="BB32" s="3"/>
      <c r="BC32" s="3"/>
    </row>
    <row r="33" ht="12.75" customHeight="1">
      <c r="A33" s="100">
        <v>30.0</v>
      </c>
      <c r="B33" s="111"/>
      <c r="C33" s="112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04"/>
      <c r="AS33" s="104"/>
      <c r="AT33" s="104"/>
      <c r="AU33" s="105"/>
      <c r="AV33" s="3"/>
      <c r="AW33" s="106">
        <f>IF(AR33=" "," ",AR33/BC4)</f>
        <v>0</v>
      </c>
      <c r="AX33" s="97" t="str">
        <f t="shared" si="2"/>
        <v>NORMAL </v>
      </c>
      <c r="AY33" s="3"/>
      <c r="AZ33" s="3"/>
      <c r="BA33" s="3"/>
      <c r="BB33" s="3"/>
      <c r="BC33" s="3"/>
    </row>
    <row r="34" ht="12.75" customHeight="1">
      <c r="A34" s="100"/>
      <c r="B34" s="114"/>
      <c r="C34" s="115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04"/>
      <c r="AS34" s="104"/>
      <c r="AT34" s="104"/>
      <c r="AU34" s="105"/>
      <c r="AV34" s="3"/>
      <c r="AW34" s="106">
        <f>IF(AR34=" "," ",AR34/BC4)</f>
        <v>0</v>
      </c>
      <c r="AX34" s="97" t="str">
        <f t="shared" si="2"/>
        <v>NORMAL </v>
      </c>
      <c r="AY34" s="3"/>
      <c r="AZ34" s="3"/>
      <c r="BA34" s="3"/>
      <c r="BB34" s="3"/>
      <c r="BC34" s="3"/>
    </row>
    <row r="35" ht="12.75" customHeight="1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8"/>
      <c r="AV35" s="3"/>
      <c r="AW35" s="84"/>
      <c r="AX35" s="85"/>
      <c r="AY35" s="3"/>
      <c r="AZ35" s="3"/>
      <c r="BA35" s="3"/>
      <c r="BB35" s="3"/>
      <c r="BC35" s="3"/>
    </row>
    <row r="36" ht="12.75" customHeight="1">
      <c r="A36" s="85"/>
      <c r="B36" s="85"/>
      <c r="C36" s="85"/>
      <c r="D36" s="8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85"/>
      <c r="AO36" s="85"/>
      <c r="AP36" s="85"/>
      <c r="AQ36" s="85"/>
      <c r="AR36" s="85"/>
      <c r="AS36" s="85"/>
      <c r="AT36" s="85"/>
      <c r="AU36" s="85"/>
      <c r="AV36" s="3"/>
      <c r="AW36" s="84"/>
      <c r="AX36" s="85"/>
      <c r="AY36" s="3"/>
      <c r="AZ36" s="3"/>
      <c r="BA36" s="3"/>
      <c r="BB36" s="3"/>
      <c r="BC36" s="3"/>
    </row>
    <row r="37" ht="12.75" customHeight="1">
      <c r="A37" s="119" t="s">
        <v>84</v>
      </c>
      <c r="B37" s="32"/>
      <c r="C37" s="32"/>
      <c r="D37" s="32"/>
      <c r="E37" s="32"/>
      <c r="F37" s="32"/>
      <c r="G37" s="32"/>
      <c r="H37" s="32"/>
      <c r="I37" s="120"/>
      <c r="J37" s="83"/>
      <c r="K37" s="12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120"/>
      <c r="W37" s="83"/>
      <c r="X37" s="121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120"/>
      <c r="AK37" s="85"/>
      <c r="AL37" s="121"/>
      <c r="AM37" s="32"/>
      <c r="AN37" s="32"/>
      <c r="AO37" s="32"/>
      <c r="AP37" s="32"/>
      <c r="AQ37" s="32"/>
      <c r="AR37" s="32"/>
      <c r="AS37" s="32"/>
      <c r="AT37" s="32"/>
      <c r="AU37" s="120"/>
      <c r="AV37" s="3"/>
      <c r="AW37" s="84"/>
      <c r="AX37" s="85"/>
      <c r="AY37" s="3"/>
      <c r="AZ37" s="3"/>
      <c r="BA37" s="3"/>
      <c r="BB37" s="3"/>
      <c r="BC37" s="3"/>
    </row>
    <row r="38" ht="12.75" customHeight="1">
      <c r="A38" s="122"/>
      <c r="B38" s="123"/>
      <c r="C38" s="123"/>
      <c r="D38" s="123"/>
      <c r="E38" s="123"/>
      <c r="F38" s="123"/>
      <c r="G38" s="123"/>
      <c r="H38" s="123"/>
      <c r="I38" s="124"/>
      <c r="J38" s="17"/>
      <c r="K38" s="125"/>
      <c r="V38" s="126"/>
      <c r="W38" s="17"/>
      <c r="X38" s="125"/>
      <c r="AJ38" s="126"/>
      <c r="AK38" s="85"/>
      <c r="AL38" s="125"/>
      <c r="AU38" s="126"/>
      <c r="AV38" s="3"/>
      <c r="AW38" s="84"/>
      <c r="AX38" s="85"/>
      <c r="AY38" s="3"/>
      <c r="AZ38" s="3"/>
      <c r="BA38" s="3"/>
      <c r="BB38" s="3"/>
      <c r="BC38" s="3"/>
    </row>
    <row r="39" ht="12.75" customHeight="1">
      <c r="A39" s="127" t="s">
        <v>85</v>
      </c>
      <c r="B39" s="128"/>
      <c r="C39" s="129"/>
      <c r="D39" s="130"/>
      <c r="E39" s="130"/>
      <c r="F39" s="130"/>
      <c r="G39" s="130"/>
      <c r="H39" s="130"/>
      <c r="I39" s="130"/>
      <c r="J39" s="17"/>
      <c r="K39" s="70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73"/>
      <c r="W39" s="17"/>
      <c r="X39" s="70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73"/>
      <c r="AK39" s="85"/>
      <c r="AL39" s="70"/>
      <c r="AM39" s="42"/>
      <c r="AN39" s="42"/>
      <c r="AO39" s="42"/>
      <c r="AP39" s="42"/>
      <c r="AQ39" s="42"/>
      <c r="AR39" s="42"/>
      <c r="AS39" s="42"/>
      <c r="AT39" s="42"/>
      <c r="AU39" s="73"/>
      <c r="AV39" s="3"/>
      <c r="AW39" s="84"/>
      <c r="AX39" s="85"/>
      <c r="AY39" s="3"/>
      <c r="AZ39" s="3"/>
      <c r="BA39" s="3"/>
      <c r="BB39" s="3"/>
      <c r="BC39" s="3"/>
    </row>
    <row r="40" ht="12.75" customHeight="1">
      <c r="A40" s="131" t="s">
        <v>86</v>
      </c>
      <c r="B40" s="132"/>
      <c r="C40" s="133"/>
      <c r="D40" s="134"/>
      <c r="E40" s="134"/>
      <c r="F40" s="134"/>
      <c r="G40" s="134"/>
      <c r="H40" s="134"/>
      <c r="I40" s="134"/>
      <c r="J40" s="17"/>
      <c r="K40" s="135" t="s">
        <v>87</v>
      </c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72"/>
      <c r="W40" s="17"/>
      <c r="X40" s="135" t="s">
        <v>88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72"/>
      <c r="AK40" s="85"/>
      <c r="AL40" s="135" t="s">
        <v>89</v>
      </c>
      <c r="AM40" s="61"/>
      <c r="AN40" s="61"/>
      <c r="AO40" s="61"/>
      <c r="AP40" s="61"/>
      <c r="AQ40" s="61"/>
      <c r="AR40" s="61"/>
      <c r="AS40" s="61"/>
      <c r="AT40" s="61"/>
      <c r="AU40" s="72"/>
      <c r="AV40" s="3"/>
      <c r="AW40" s="84"/>
      <c r="AX40" s="85"/>
      <c r="AY40" s="3"/>
      <c r="AZ40" s="3"/>
      <c r="BA40" s="3"/>
      <c r="BB40" s="3"/>
      <c r="BC40" s="3"/>
    </row>
    <row r="41" ht="12.75" customHeight="1">
      <c r="A41" s="136"/>
      <c r="B41" s="10"/>
      <c r="C41" s="10"/>
      <c r="D41" s="10"/>
      <c r="E41" s="10"/>
      <c r="F41" s="10"/>
      <c r="G41" s="10"/>
      <c r="H41" s="10"/>
      <c r="I41" s="11"/>
      <c r="J41" s="82"/>
      <c r="K41" s="122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4"/>
      <c r="W41" s="82"/>
      <c r="X41" s="122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4"/>
      <c r="AK41" s="85"/>
      <c r="AL41" s="122"/>
      <c r="AM41" s="123"/>
      <c r="AN41" s="123"/>
      <c r="AO41" s="123"/>
      <c r="AP41" s="123"/>
      <c r="AQ41" s="123"/>
      <c r="AR41" s="123"/>
      <c r="AS41" s="123"/>
      <c r="AT41" s="123"/>
      <c r="AU41" s="124"/>
      <c r="AV41" s="3"/>
      <c r="AW41" s="84"/>
      <c r="AX41" s="85"/>
      <c r="AY41" s="3"/>
      <c r="AZ41" s="3"/>
      <c r="BA41" s="3"/>
      <c r="BB41" s="3"/>
      <c r="BC41" s="3"/>
    </row>
    <row r="42" ht="12.75" customHeight="1">
      <c r="A42" s="137" t="s">
        <v>90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129"/>
      <c r="AV42" s="3"/>
      <c r="AW42" s="84"/>
      <c r="AX42" s="85"/>
      <c r="AY42" s="3"/>
      <c r="AZ42" s="3"/>
      <c r="BA42" s="3"/>
      <c r="BB42" s="3"/>
      <c r="BC42" s="3"/>
    </row>
    <row r="43" ht="12.75" customHeight="1">
      <c r="A43" s="138" t="s">
        <v>91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139"/>
      <c r="AV43" s="3"/>
      <c r="AW43" s="84"/>
      <c r="AX43" s="85"/>
      <c r="AY43" s="3"/>
      <c r="AZ43" s="3"/>
      <c r="BA43" s="3"/>
      <c r="BB43" s="3"/>
      <c r="BC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84"/>
      <c r="AX44" s="85"/>
      <c r="AY44" s="3"/>
      <c r="AZ44" s="3"/>
      <c r="BA44" s="3"/>
      <c r="BB44" s="3"/>
      <c r="BC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84"/>
      <c r="AX45" s="85"/>
      <c r="AY45" s="3"/>
      <c r="AZ45" s="3"/>
      <c r="BA45" s="3"/>
      <c r="BB45" s="3"/>
      <c r="BC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84"/>
      <c r="AX46" s="85"/>
      <c r="AY46" s="3"/>
      <c r="AZ46" s="3"/>
      <c r="BA46" s="3"/>
      <c r="BB46" s="3"/>
      <c r="BC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84"/>
      <c r="AX47" s="85"/>
      <c r="AY47" s="3"/>
      <c r="AZ47" s="3"/>
      <c r="BA47" s="3"/>
      <c r="BB47" s="3"/>
      <c r="BC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84"/>
      <c r="AX48" s="85"/>
      <c r="AY48" s="3"/>
      <c r="AZ48" s="3"/>
      <c r="BA48" s="3"/>
      <c r="BB48" s="3"/>
      <c r="BC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84"/>
      <c r="AX49" s="85"/>
      <c r="AY49" s="3"/>
      <c r="AZ49" s="3"/>
      <c r="BA49" s="3"/>
      <c r="BB49" s="3"/>
      <c r="BC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84"/>
      <c r="AX50" s="85"/>
      <c r="AY50" s="3"/>
      <c r="AZ50" s="3"/>
      <c r="BA50" s="3"/>
      <c r="BB50" s="3"/>
      <c r="BC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84"/>
      <c r="AX51" s="85"/>
      <c r="AY51" s="3"/>
      <c r="AZ51" s="3"/>
      <c r="BA51" s="3"/>
      <c r="BB51" s="3"/>
      <c r="BC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84"/>
      <c r="AX52" s="85"/>
      <c r="AY52" s="3"/>
      <c r="AZ52" s="3"/>
      <c r="BA52" s="3"/>
      <c r="BB52" s="3"/>
      <c r="BC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84"/>
      <c r="AX53" s="85"/>
      <c r="AY53" s="3"/>
      <c r="AZ53" s="3"/>
      <c r="BA53" s="3"/>
      <c r="BB53" s="3"/>
      <c r="BC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84"/>
      <c r="AX54" s="85"/>
      <c r="AY54" s="3"/>
      <c r="AZ54" s="3"/>
      <c r="BA54" s="3"/>
      <c r="BB54" s="3"/>
      <c r="BC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84"/>
      <c r="AX55" s="85"/>
      <c r="AY55" s="3"/>
      <c r="AZ55" s="3"/>
      <c r="BA55" s="3"/>
      <c r="BB55" s="3"/>
      <c r="BC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84"/>
      <c r="AX56" s="85"/>
      <c r="AY56" s="3"/>
      <c r="AZ56" s="3"/>
      <c r="BA56" s="3"/>
      <c r="BB56" s="3"/>
      <c r="BC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84"/>
      <c r="AX57" s="85"/>
      <c r="AY57" s="3"/>
      <c r="AZ57" s="3"/>
      <c r="BA57" s="3"/>
      <c r="BB57" s="3"/>
      <c r="BC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84"/>
      <c r="AX58" s="85"/>
      <c r="AY58" s="3"/>
      <c r="AZ58" s="3"/>
      <c r="BA58" s="3"/>
      <c r="BB58" s="3"/>
      <c r="BC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84"/>
      <c r="AX59" s="85"/>
      <c r="AY59" s="3"/>
      <c r="AZ59" s="3"/>
      <c r="BA59" s="3"/>
      <c r="BB59" s="3"/>
      <c r="BC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84"/>
      <c r="AX60" s="85"/>
      <c r="AY60" s="3"/>
      <c r="AZ60" s="3"/>
      <c r="BA60" s="3"/>
      <c r="BB60" s="3"/>
      <c r="BC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84"/>
      <c r="AX61" s="85"/>
      <c r="AY61" s="3"/>
      <c r="AZ61" s="3"/>
      <c r="BA61" s="3"/>
      <c r="BB61" s="3"/>
      <c r="BC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84"/>
      <c r="AX62" s="85"/>
      <c r="AY62" s="3"/>
      <c r="AZ62" s="3"/>
      <c r="BA62" s="3"/>
      <c r="BB62" s="3"/>
      <c r="BC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84"/>
      <c r="AX63" s="85"/>
      <c r="AY63" s="3"/>
      <c r="AZ63" s="3"/>
      <c r="BA63" s="3"/>
      <c r="BB63" s="3"/>
      <c r="BC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84"/>
      <c r="AX64" s="85"/>
      <c r="AY64" s="3"/>
      <c r="AZ64" s="3"/>
      <c r="BA64" s="3"/>
      <c r="BB64" s="3"/>
      <c r="BC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84"/>
      <c r="AX65" s="85"/>
      <c r="AY65" s="3"/>
      <c r="AZ65" s="3"/>
      <c r="BA65" s="3"/>
      <c r="BB65" s="3"/>
      <c r="BC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84"/>
      <c r="AX66" s="85"/>
      <c r="AY66" s="3"/>
      <c r="AZ66" s="3"/>
      <c r="BA66" s="3"/>
      <c r="BB66" s="3"/>
      <c r="BC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84"/>
      <c r="AX67" s="85"/>
      <c r="AY67" s="3"/>
      <c r="AZ67" s="3"/>
      <c r="BA67" s="3"/>
      <c r="BB67" s="3"/>
      <c r="BC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84"/>
      <c r="AX68" s="85"/>
      <c r="AY68" s="3"/>
      <c r="AZ68" s="3"/>
      <c r="BA68" s="3"/>
      <c r="BB68" s="3"/>
      <c r="BC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84"/>
      <c r="AX69" s="85"/>
      <c r="AY69" s="3"/>
      <c r="AZ69" s="3"/>
      <c r="BA69" s="3"/>
      <c r="BB69" s="3"/>
      <c r="BC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84"/>
      <c r="AX70" s="85"/>
      <c r="AY70" s="3"/>
      <c r="AZ70" s="3"/>
      <c r="BA70" s="3"/>
      <c r="BB70" s="3"/>
      <c r="BC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84"/>
      <c r="AX71" s="85"/>
      <c r="AY71" s="3"/>
      <c r="AZ71" s="3"/>
      <c r="BA71" s="3"/>
      <c r="BB71" s="3"/>
      <c r="BC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84"/>
      <c r="AX72" s="85"/>
      <c r="AY72" s="3"/>
      <c r="AZ72" s="3"/>
      <c r="BA72" s="3"/>
      <c r="BB72" s="3"/>
      <c r="BC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84"/>
      <c r="AX73" s="85"/>
      <c r="AY73" s="3"/>
      <c r="AZ73" s="3"/>
      <c r="BA73" s="3"/>
      <c r="BB73" s="3"/>
      <c r="BC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84"/>
      <c r="AX74" s="85"/>
      <c r="AY74" s="3"/>
      <c r="AZ74" s="3"/>
      <c r="BA74" s="3"/>
      <c r="BB74" s="3"/>
      <c r="BC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84"/>
      <c r="AX75" s="85"/>
      <c r="AY75" s="3"/>
      <c r="AZ75" s="3"/>
      <c r="BA75" s="3"/>
      <c r="BB75" s="3"/>
      <c r="BC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84"/>
      <c r="AX76" s="85"/>
      <c r="AY76" s="3"/>
      <c r="AZ76" s="3"/>
      <c r="BA76" s="3"/>
      <c r="BB76" s="3"/>
      <c r="BC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84"/>
      <c r="AX77" s="85"/>
      <c r="AY77" s="3"/>
      <c r="AZ77" s="3"/>
      <c r="BA77" s="3"/>
      <c r="BB77" s="3"/>
      <c r="BC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84"/>
      <c r="AX78" s="85"/>
      <c r="AY78" s="3"/>
      <c r="AZ78" s="3"/>
      <c r="BA78" s="3"/>
      <c r="BB78" s="3"/>
      <c r="BC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84"/>
      <c r="AX79" s="85"/>
      <c r="AY79" s="3"/>
      <c r="AZ79" s="3"/>
      <c r="BA79" s="3"/>
      <c r="BB79" s="3"/>
      <c r="BC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84"/>
      <c r="AX80" s="85"/>
      <c r="AY80" s="3"/>
      <c r="AZ80" s="3"/>
      <c r="BA80" s="3"/>
      <c r="BB80" s="3"/>
      <c r="BC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84"/>
      <c r="AX81" s="85"/>
      <c r="AY81" s="3"/>
      <c r="AZ81" s="3"/>
      <c r="BA81" s="3"/>
      <c r="BB81" s="3"/>
      <c r="BC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84"/>
      <c r="AX82" s="85"/>
      <c r="AY82" s="3"/>
      <c r="AZ82" s="3"/>
      <c r="BA82" s="3"/>
      <c r="BB82" s="3"/>
      <c r="BC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84"/>
      <c r="AX83" s="85"/>
      <c r="AY83" s="3"/>
      <c r="AZ83" s="3"/>
      <c r="BA83" s="3"/>
      <c r="BB83" s="3"/>
      <c r="BC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84"/>
      <c r="AX84" s="85"/>
      <c r="AY84" s="3"/>
      <c r="AZ84" s="3"/>
      <c r="BA84" s="3"/>
      <c r="BB84" s="3"/>
      <c r="BC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84"/>
      <c r="AX85" s="85"/>
      <c r="AY85" s="3"/>
      <c r="AZ85" s="3"/>
      <c r="BA85" s="3"/>
      <c r="BB85" s="3"/>
      <c r="BC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84"/>
      <c r="AX86" s="85"/>
      <c r="AY86" s="3"/>
      <c r="AZ86" s="3"/>
      <c r="BA86" s="3"/>
      <c r="BB86" s="3"/>
      <c r="BC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84"/>
      <c r="AX87" s="85"/>
      <c r="AY87" s="3"/>
      <c r="AZ87" s="3"/>
      <c r="BA87" s="3"/>
      <c r="BB87" s="3"/>
      <c r="BC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84"/>
      <c r="AX88" s="85"/>
      <c r="AY88" s="3"/>
      <c r="AZ88" s="3"/>
      <c r="BA88" s="3"/>
      <c r="BB88" s="3"/>
      <c r="BC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84"/>
      <c r="AX89" s="85"/>
      <c r="AY89" s="3"/>
      <c r="AZ89" s="3"/>
      <c r="BA89" s="3"/>
      <c r="BB89" s="3"/>
      <c r="BC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84"/>
      <c r="AX90" s="85"/>
      <c r="AY90" s="3"/>
      <c r="AZ90" s="3"/>
      <c r="BA90" s="3"/>
      <c r="BB90" s="3"/>
      <c r="BC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84"/>
      <c r="AX91" s="85"/>
      <c r="AY91" s="3"/>
      <c r="AZ91" s="3"/>
      <c r="BA91" s="3"/>
      <c r="BB91" s="3"/>
      <c r="BC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84"/>
      <c r="AX92" s="85"/>
      <c r="AY92" s="3"/>
      <c r="AZ92" s="3"/>
      <c r="BA92" s="3"/>
      <c r="BB92" s="3"/>
      <c r="BC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84"/>
      <c r="AX93" s="85"/>
      <c r="AY93" s="3"/>
      <c r="AZ93" s="3"/>
      <c r="BA93" s="3"/>
      <c r="BB93" s="3"/>
      <c r="BC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84"/>
      <c r="AX94" s="85"/>
      <c r="AY94" s="3"/>
      <c r="AZ94" s="3"/>
      <c r="BA94" s="3"/>
      <c r="BB94" s="3"/>
      <c r="BC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84"/>
      <c r="AX95" s="85"/>
      <c r="AY95" s="3"/>
      <c r="AZ95" s="3"/>
      <c r="BA95" s="3"/>
      <c r="BB95" s="3"/>
      <c r="BC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84"/>
      <c r="AX96" s="85"/>
      <c r="AY96" s="3"/>
      <c r="AZ96" s="3"/>
      <c r="BA96" s="3"/>
      <c r="BB96" s="3"/>
      <c r="BC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84"/>
      <c r="AX97" s="85"/>
      <c r="AY97" s="3"/>
      <c r="AZ97" s="3"/>
      <c r="BA97" s="3"/>
      <c r="BB97" s="3"/>
      <c r="BC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84"/>
      <c r="AX98" s="85"/>
      <c r="AY98" s="3"/>
      <c r="AZ98" s="3"/>
      <c r="BA98" s="3"/>
      <c r="BB98" s="3"/>
      <c r="BC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84"/>
      <c r="AX99" s="85"/>
      <c r="AY99" s="3"/>
      <c r="AZ99" s="3"/>
      <c r="BA99" s="3"/>
      <c r="BB99" s="3"/>
      <c r="BC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84"/>
      <c r="AX100" s="85"/>
      <c r="AY100" s="3"/>
      <c r="AZ100" s="3"/>
      <c r="BA100" s="3"/>
      <c r="BB100" s="3"/>
      <c r="BC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84"/>
      <c r="AX101" s="85"/>
      <c r="AY101" s="3"/>
      <c r="AZ101" s="3"/>
      <c r="BA101" s="3"/>
      <c r="BB101" s="3"/>
      <c r="BC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84"/>
      <c r="AX102" s="85"/>
      <c r="AY102" s="3"/>
      <c r="AZ102" s="3"/>
      <c r="BA102" s="3"/>
      <c r="BB102" s="3"/>
      <c r="BC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84"/>
      <c r="AX103" s="85"/>
      <c r="AY103" s="3"/>
      <c r="AZ103" s="3"/>
      <c r="BA103" s="3"/>
      <c r="BB103" s="3"/>
      <c r="BC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84"/>
      <c r="AX104" s="85"/>
      <c r="AY104" s="3"/>
      <c r="AZ104" s="3"/>
      <c r="BA104" s="3"/>
      <c r="BB104" s="3"/>
      <c r="BC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84"/>
      <c r="AX105" s="85"/>
      <c r="AY105" s="3"/>
      <c r="AZ105" s="3"/>
      <c r="BA105" s="3"/>
      <c r="BB105" s="3"/>
      <c r="BC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84"/>
      <c r="AX106" s="85"/>
      <c r="AY106" s="3"/>
      <c r="AZ106" s="3"/>
      <c r="BA106" s="3"/>
      <c r="BB106" s="3"/>
      <c r="BC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84"/>
      <c r="AX107" s="85"/>
      <c r="AY107" s="3"/>
      <c r="AZ107" s="3"/>
      <c r="BA107" s="3"/>
      <c r="BB107" s="3"/>
      <c r="BC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84"/>
      <c r="AX108" s="85"/>
      <c r="AY108" s="3"/>
      <c r="AZ108" s="3"/>
      <c r="BA108" s="3"/>
      <c r="BB108" s="3"/>
      <c r="BC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84"/>
      <c r="AX109" s="85"/>
      <c r="AY109" s="3"/>
      <c r="AZ109" s="3"/>
      <c r="BA109" s="3"/>
      <c r="BB109" s="3"/>
      <c r="BC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84"/>
      <c r="AX110" s="85"/>
      <c r="AY110" s="3"/>
      <c r="AZ110" s="3"/>
      <c r="BA110" s="3"/>
      <c r="BB110" s="3"/>
      <c r="BC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84"/>
      <c r="AX111" s="85"/>
      <c r="AY111" s="3"/>
      <c r="AZ111" s="3"/>
      <c r="BA111" s="3"/>
      <c r="BB111" s="3"/>
      <c r="BC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84"/>
      <c r="AX112" s="85"/>
      <c r="AY112" s="3"/>
      <c r="AZ112" s="3"/>
      <c r="BA112" s="3"/>
      <c r="BB112" s="3"/>
      <c r="BC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84"/>
      <c r="AX113" s="85"/>
      <c r="AY113" s="3"/>
      <c r="AZ113" s="3"/>
      <c r="BA113" s="3"/>
      <c r="BB113" s="3"/>
      <c r="BC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84"/>
      <c r="AX114" s="85"/>
      <c r="AY114" s="3"/>
      <c r="AZ114" s="3"/>
      <c r="BA114" s="3"/>
      <c r="BB114" s="3"/>
      <c r="BC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84"/>
      <c r="AX115" s="85"/>
      <c r="AY115" s="3"/>
      <c r="AZ115" s="3"/>
      <c r="BA115" s="3"/>
      <c r="BB115" s="3"/>
      <c r="BC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84"/>
      <c r="AX116" s="85"/>
      <c r="AY116" s="3"/>
      <c r="AZ116" s="3"/>
      <c r="BA116" s="3"/>
      <c r="BB116" s="3"/>
      <c r="BC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84"/>
      <c r="AX117" s="85"/>
      <c r="AY117" s="3"/>
      <c r="AZ117" s="3"/>
      <c r="BA117" s="3"/>
      <c r="BB117" s="3"/>
      <c r="BC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84"/>
      <c r="AX118" s="85"/>
      <c r="AY118" s="3"/>
      <c r="AZ118" s="3"/>
      <c r="BA118" s="3"/>
      <c r="BB118" s="3"/>
      <c r="BC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84"/>
      <c r="AX119" s="85"/>
      <c r="AY119" s="3"/>
      <c r="AZ119" s="3"/>
      <c r="BA119" s="3"/>
      <c r="BB119" s="3"/>
      <c r="BC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84"/>
      <c r="AX120" s="85"/>
      <c r="AY120" s="3"/>
      <c r="AZ120" s="3"/>
      <c r="BA120" s="3"/>
      <c r="BB120" s="3"/>
      <c r="BC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84"/>
      <c r="AX121" s="85"/>
      <c r="AY121" s="3"/>
      <c r="AZ121" s="3"/>
      <c r="BA121" s="3"/>
      <c r="BB121" s="3"/>
      <c r="BC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84"/>
      <c r="AX122" s="85"/>
      <c r="AY122" s="3"/>
      <c r="AZ122" s="3"/>
      <c r="BA122" s="3"/>
      <c r="BB122" s="3"/>
      <c r="BC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84"/>
      <c r="AX123" s="85"/>
      <c r="AY123" s="3"/>
      <c r="AZ123" s="3"/>
      <c r="BA123" s="3"/>
      <c r="BB123" s="3"/>
      <c r="BC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84"/>
      <c r="AX124" s="85"/>
      <c r="AY124" s="3"/>
      <c r="AZ124" s="3"/>
      <c r="BA124" s="3"/>
      <c r="BB124" s="3"/>
      <c r="BC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84"/>
      <c r="AX125" s="85"/>
      <c r="AY125" s="3"/>
      <c r="AZ125" s="3"/>
      <c r="BA125" s="3"/>
      <c r="BB125" s="3"/>
      <c r="BC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84"/>
      <c r="AX126" s="85"/>
      <c r="AY126" s="3"/>
      <c r="AZ126" s="3"/>
      <c r="BA126" s="3"/>
      <c r="BB126" s="3"/>
      <c r="BC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84"/>
      <c r="AX127" s="85"/>
      <c r="AY127" s="3"/>
      <c r="AZ127" s="3"/>
      <c r="BA127" s="3"/>
      <c r="BB127" s="3"/>
      <c r="BC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84"/>
      <c r="AX128" s="85"/>
      <c r="AY128" s="3"/>
      <c r="AZ128" s="3"/>
      <c r="BA128" s="3"/>
      <c r="BB128" s="3"/>
      <c r="BC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84"/>
      <c r="AX129" s="85"/>
      <c r="AY129" s="3"/>
      <c r="AZ129" s="3"/>
      <c r="BA129" s="3"/>
      <c r="BB129" s="3"/>
      <c r="BC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84"/>
      <c r="AX130" s="85"/>
      <c r="AY130" s="3"/>
      <c r="AZ130" s="3"/>
      <c r="BA130" s="3"/>
      <c r="BB130" s="3"/>
      <c r="BC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84"/>
      <c r="AX131" s="85"/>
      <c r="AY131" s="3"/>
      <c r="AZ131" s="3"/>
      <c r="BA131" s="3"/>
      <c r="BB131" s="3"/>
      <c r="BC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84"/>
      <c r="AX132" s="85"/>
      <c r="AY132" s="3"/>
      <c r="AZ132" s="3"/>
      <c r="BA132" s="3"/>
      <c r="BB132" s="3"/>
      <c r="BC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84"/>
      <c r="AX133" s="85"/>
      <c r="AY133" s="3"/>
      <c r="AZ133" s="3"/>
      <c r="BA133" s="3"/>
      <c r="BB133" s="3"/>
      <c r="BC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84"/>
      <c r="AX134" s="85"/>
      <c r="AY134" s="3"/>
      <c r="AZ134" s="3"/>
      <c r="BA134" s="3"/>
      <c r="BB134" s="3"/>
      <c r="BC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84"/>
      <c r="AX135" s="85"/>
      <c r="AY135" s="3"/>
      <c r="AZ135" s="3"/>
      <c r="BA135" s="3"/>
      <c r="BB135" s="3"/>
      <c r="BC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84"/>
      <c r="AX136" s="85"/>
      <c r="AY136" s="3"/>
      <c r="AZ136" s="3"/>
      <c r="BA136" s="3"/>
      <c r="BB136" s="3"/>
      <c r="BC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84"/>
      <c r="AX137" s="85"/>
      <c r="AY137" s="3"/>
      <c r="AZ137" s="3"/>
      <c r="BA137" s="3"/>
      <c r="BB137" s="3"/>
      <c r="BC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84"/>
      <c r="AX138" s="85"/>
      <c r="AY138" s="3"/>
      <c r="AZ138" s="3"/>
      <c r="BA138" s="3"/>
      <c r="BB138" s="3"/>
      <c r="BC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84"/>
      <c r="AX139" s="85"/>
      <c r="AY139" s="3"/>
      <c r="AZ139" s="3"/>
      <c r="BA139" s="3"/>
      <c r="BB139" s="3"/>
      <c r="BC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84"/>
      <c r="AX140" s="85"/>
      <c r="AY140" s="3"/>
      <c r="AZ140" s="3"/>
      <c r="BA140" s="3"/>
      <c r="BB140" s="3"/>
      <c r="BC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84"/>
      <c r="AX141" s="85"/>
      <c r="AY141" s="3"/>
      <c r="AZ141" s="3"/>
      <c r="BA141" s="3"/>
      <c r="BB141" s="3"/>
      <c r="BC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84"/>
      <c r="AX142" s="85"/>
      <c r="AY142" s="3"/>
      <c r="AZ142" s="3"/>
      <c r="BA142" s="3"/>
      <c r="BB142" s="3"/>
      <c r="BC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84"/>
      <c r="AX143" s="85"/>
      <c r="AY143" s="3"/>
      <c r="AZ143" s="3"/>
      <c r="BA143" s="3"/>
      <c r="BB143" s="3"/>
      <c r="BC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84"/>
      <c r="AX144" s="85"/>
      <c r="AY144" s="3"/>
      <c r="AZ144" s="3"/>
      <c r="BA144" s="3"/>
      <c r="BB144" s="3"/>
      <c r="BC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84"/>
      <c r="AX145" s="85"/>
      <c r="AY145" s="3"/>
      <c r="AZ145" s="3"/>
      <c r="BA145" s="3"/>
      <c r="BB145" s="3"/>
      <c r="BC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84"/>
      <c r="AX146" s="85"/>
      <c r="AY146" s="3"/>
      <c r="AZ146" s="3"/>
      <c r="BA146" s="3"/>
      <c r="BB146" s="3"/>
      <c r="BC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84"/>
      <c r="AX147" s="85"/>
      <c r="AY147" s="3"/>
      <c r="AZ147" s="3"/>
      <c r="BA147" s="3"/>
      <c r="BB147" s="3"/>
      <c r="BC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84"/>
      <c r="AX148" s="85"/>
      <c r="AY148" s="3"/>
      <c r="AZ148" s="3"/>
      <c r="BA148" s="3"/>
      <c r="BB148" s="3"/>
      <c r="BC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84"/>
      <c r="AX149" s="85"/>
      <c r="AY149" s="3"/>
      <c r="AZ149" s="3"/>
      <c r="BA149" s="3"/>
      <c r="BB149" s="3"/>
      <c r="BC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84"/>
      <c r="AX150" s="85"/>
      <c r="AY150" s="3"/>
      <c r="AZ150" s="3"/>
      <c r="BA150" s="3"/>
      <c r="BB150" s="3"/>
      <c r="BC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84"/>
      <c r="AX151" s="85"/>
      <c r="AY151" s="3"/>
      <c r="AZ151" s="3"/>
      <c r="BA151" s="3"/>
      <c r="BB151" s="3"/>
      <c r="BC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84"/>
      <c r="AX152" s="85"/>
      <c r="AY152" s="3"/>
      <c r="AZ152" s="3"/>
      <c r="BA152" s="3"/>
      <c r="BB152" s="3"/>
      <c r="BC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84"/>
      <c r="AX153" s="85"/>
      <c r="AY153" s="3"/>
      <c r="AZ153" s="3"/>
      <c r="BA153" s="3"/>
      <c r="BB153" s="3"/>
      <c r="BC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84"/>
      <c r="AX154" s="85"/>
      <c r="AY154" s="3"/>
      <c r="AZ154" s="3"/>
      <c r="BA154" s="3"/>
      <c r="BB154" s="3"/>
      <c r="BC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84"/>
      <c r="AX155" s="85"/>
      <c r="AY155" s="3"/>
      <c r="AZ155" s="3"/>
      <c r="BA155" s="3"/>
      <c r="BB155" s="3"/>
      <c r="BC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84"/>
      <c r="AX156" s="85"/>
      <c r="AY156" s="3"/>
      <c r="AZ156" s="3"/>
      <c r="BA156" s="3"/>
      <c r="BB156" s="3"/>
      <c r="BC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84"/>
      <c r="AX157" s="85"/>
      <c r="AY157" s="3"/>
      <c r="AZ157" s="3"/>
      <c r="BA157" s="3"/>
      <c r="BB157" s="3"/>
      <c r="BC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84"/>
      <c r="AX158" s="85"/>
      <c r="AY158" s="3"/>
      <c r="AZ158" s="3"/>
      <c r="BA158" s="3"/>
      <c r="BB158" s="3"/>
      <c r="BC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84"/>
      <c r="AX159" s="85"/>
      <c r="AY159" s="3"/>
      <c r="AZ159" s="3"/>
      <c r="BA159" s="3"/>
      <c r="BB159" s="3"/>
      <c r="BC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84"/>
      <c r="AX160" s="85"/>
      <c r="AY160" s="3"/>
      <c r="AZ160" s="3"/>
      <c r="BA160" s="3"/>
      <c r="BB160" s="3"/>
      <c r="BC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84"/>
      <c r="AX161" s="85"/>
      <c r="AY161" s="3"/>
      <c r="AZ161" s="3"/>
      <c r="BA161" s="3"/>
      <c r="BB161" s="3"/>
      <c r="BC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84"/>
      <c r="AX162" s="85"/>
      <c r="AY162" s="3"/>
      <c r="AZ162" s="3"/>
      <c r="BA162" s="3"/>
      <c r="BB162" s="3"/>
      <c r="BC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84"/>
      <c r="AX163" s="85"/>
      <c r="AY163" s="3"/>
      <c r="AZ163" s="3"/>
      <c r="BA163" s="3"/>
      <c r="BB163" s="3"/>
      <c r="BC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84"/>
      <c r="AX164" s="85"/>
      <c r="AY164" s="3"/>
      <c r="AZ164" s="3"/>
      <c r="BA164" s="3"/>
      <c r="BB164" s="3"/>
      <c r="BC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84"/>
      <c r="AX165" s="85"/>
      <c r="AY165" s="3"/>
      <c r="AZ165" s="3"/>
      <c r="BA165" s="3"/>
      <c r="BB165" s="3"/>
      <c r="BC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84"/>
      <c r="AX166" s="85"/>
      <c r="AY166" s="3"/>
      <c r="AZ166" s="3"/>
      <c r="BA166" s="3"/>
      <c r="BB166" s="3"/>
      <c r="BC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84"/>
      <c r="AX167" s="85"/>
      <c r="AY167" s="3"/>
      <c r="AZ167" s="3"/>
      <c r="BA167" s="3"/>
      <c r="BB167" s="3"/>
      <c r="BC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84"/>
      <c r="AX168" s="85"/>
      <c r="AY168" s="3"/>
      <c r="AZ168" s="3"/>
      <c r="BA168" s="3"/>
      <c r="BB168" s="3"/>
      <c r="BC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84"/>
      <c r="AX169" s="85"/>
      <c r="AY169" s="3"/>
      <c r="AZ169" s="3"/>
      <c r="BA169" s="3"/>
      <c r="BB169" s="3"/>
      <c r="BC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84"/>
      <c r="AX170" s="85"/>
      <c r="AY170" s="3"/>
      <c r="AZ170" s="3"/>
      <c r="BA170" s="3"/>
      <c r="BB170" s="3"/>
      <c r="BC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84"/>
      <c r="AX171" s="85"/>
      <c r="AY171" s="3"/>
      <c r="AZ171" s="3"/>
      <c r="BA171" s="3"/>
      <c r="BB171" s="3"/>
      <c r="BC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84"/>
      <c r="AX172" s="85"/>
      <c r="AY172" s="3"/>
      <c r="AZ172" s="3"/>
      <c r="BA172" s="3"/>
      <c r="BB172" s="3"/>
      <c r="BC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84"/>
      <c r="AX173" s="85"/>
      <c r="AY173" s="3"/>
      <c r="AZ173" s="3"/>
      <c r="BA173" s="3"/>
      <c r="BB173" s="3"/>
      <c r="BC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84"/>
      <c r="AX174" s="85"/>
      <c r="AY174" s="3"/>
      <c r="AZ174" s="3"/>
      <c r="BA174" s="3"/>
      <c r="BB174" s="3"/>
      <c r="BC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84"/>
      <c r="AX175" s="85"/>
      <c r="AY175" s="3"/>
      <c r="AZ175" s="3"/>
      <c r="BA175" s="3"/>
      <c r="BB175" s="3"/>
      <c r="BC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84"/>
      <c r="AX176" s="85"/>
      <c r="AY176" s="3"/>
      <c r="AZ176" s="3"/>
      <c r="BA176" s="3"/>
      <c r="BB176" s="3"/>
      <c r="BC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84"/>
      <c r="AX177" s="85"/>
      <c r="AY177" s="3"/>
      <c r="AZ177" s="3"/>
      <c r="BA177" s="3"/>
      <c r="BB177" s="3"/>
      <c r="BC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84"/>
      <c r="AX178" s="85"/>
      <c r="AY178" s="3"/>
      <c r="AZ178" s="3"/>
      <c r="BA178" s="3"/>
      <c r="BB178" s="3"/>
      <c r="BC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84"/>
      <c r="AX179" s="85"/>
      <c r="AY179" s="3"/>
      <c r="AZ179" s="3"/>
      <c r="BA179" s="3"/>
      <c r="BB179" s="3"/>
      <c r="BC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84"/>
      <c r="AX180" s="85"/>
      <c r="AY180" s="3"/>
      <c r="AZ180" s="3"/>
      <c r="BA180" s="3"/>
      <c r="BB180" s="3"/>
      <c r="BC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84"/>
      <c r="AX181" s="85"/>
      <c r="AY181" s="3"/>
      <c r="AZ181" s="3"/>
      <c r="BA181" s="3"/>
      <c r="BB181" s="3"/>
      <c r="BC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84"/>
      <c r="AX182" s="85"/>
      <c r="AY182" s="3"/>
      <c r="AZ182" s="3"/>
      <c r="BA182" s="3"/>
      <c r="BB182" s="3"/>
      <c r="BC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84"/>
      <c r="AX183" s="85"/>
      <c r="AY183" s="3"/>
      <c r="AZ183" s="3"/>
      <c r="BA183" s="3"/>
      <c r="BB183" s="3"/>
      <c r="BC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84"/>
      <c r="AX184" s="85"/>
      <c r="AY184" s="3"/>
      <c r="AZ184" s="3"/>
      <c r="BA184" s="3"/>
      <c r="BB184" s="3"/>
      <c r="BC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84"/>
      <c r="AX185" s="85"/>
      <c r="AY185" s="3"/>
      <c r="AZ185" s="3"/>
      <c r="BA185" s="3"/>
      <c r="BB185" s="3"/>
      <c r="BC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84"/>
      <c r="AX186" s="85"/>
      <c r="AY186" s="3"/>
      <c r="AZ186" s="3"/>
      <c r="BA186" s="3"/>
      <c r="BB186" s="3"/>
      <c r="BC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84"/>
      <c r="AX187" s="85"/>
      <c r="AY187" s="3"/>
      <c r="AZ187" s="3"/>
      <c r="BA187" s="3"/>
      <c r="BB187" s="3"/>
      <c r="BC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84"/>
      <c r="AX188" s="85"/>
      <c r="AY188" s="3"/>
      <c r="AZ188" s="3"/>
      <c r="BA188" s="3"/>
      <c r="BB188" s="3"/>
      <c r="BC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84"/>
      <c r="AX189" s="85"/>
      <c r="AY189" s="3"/>
      <c r="AZ189" s="3"/>
      <c r="BA189" s="3"/>
      <c r="BB189" s="3"/>
      <c r="BC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84"/>
      <c r="AX190" s="85"/>
      <c r="AY190" s="3"/>
      <c r="AZ190" s="3"/>
      <c r="BA190" s="3"/>
      <c r="BB190" s="3"/>
      <c r="BC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84"/>
      <c r="AX191" s="85"/>
      <c r="AY191" s="3"/>
      <c r="AZ191" s="3"/>
      <c r="BA191" s="3"/>
      <c r="BB191" s="3"/>
      <c r="BC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84"/>
      <c r="AX192" s="85"/>
      <c r="AY192" s="3"/>
      <c r="AZ192" s="3"/>
      <c r="BA192" s="3"/>
      <c r="BB192" s="3"/>
      <c r="BC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84"/>
      <c r="AX193" s="85"/>
      <c r="AY193" s="3"/>
      <c r="AZ193" s="3"/>
      <c r="BA193" s="3"/>
      <c r="BB193" s="3"/>
      <c r="BC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84"/>
      <c r="AX194" s="85"/>
      <c r="AY194" s="3"/>
      <c r="AZ194" s="3"/>
      <c r="BA194" s="3"/>
      <c r="BB194" s="3"/>
      <c r="BC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84"/>
      <c r="AX195" s="85"/>
      <c r="AY195" s="3"/>
      <c r="AZ195" s="3"/>
      <c r="BA195" s="3"/>
      <c r="BB195" s="3"/>
      <c r="BC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84"/>
      <c r="AX196" s="85"/>
      <c r="AY196" s="3"/>
      <c r="AZ196" s="3"/>
      <c r="BA196" s="3"/>
      <c r="BB196" s="3"/>
      <c r="BC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84"/>
      <c r="AX197" s="85"/>
      <c r="AY197" s="3"/>
      <c r="AZ197" s="3"/>
      <c r="BA197" s="3"/>
      <c r="BB197" s="3"/>
      <c r="BC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84"/>
      <c r="AX198" s="85"/>
      <c r="AY198" s="3"/>
      <c r="AZ198" s="3"/>
      <c r="BA198" s="3"/>
      <c r="BB198" s="3"/>
      <c r="BC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84"/>
      <c r="AX199" s="85"/>
      <c r="AY199" s="3"/>
      <c r="AZ199" s="3"/>
      <c r="BA199" s="3"/>
      <c r="BB199" s="3"/>
      <c r="BC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84"/>
      <c r="AX200" s="85"/>
      <c r="AY200" s="3"/>
      <c r="AZ200" s="3"/>
      <c r="BA200" s="3"/>
      <c r="BB200" s="3"/>
      <c r="BC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84"/>
      <c r="AX201" s="85"/>
      <c r="AY201" s="3"/>
      <c r="AZ201" s="3"/>
      <c r="BA201" s="3"/>
      <c r="BB201" s="3"/>
      <c r="BC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84"/>
      <c r="AX202" s="85"/>
      <c r="AY202" s="3"/>
      <c r="AZ202" s="3"/>
      <c r="BA202" s="3"/>
      <c r="BB202" s="3"/>
      <c r="BC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84"/>
      <c r="AX203" s="85"/>
      <c r="AY203" s="3"/>
      <c r="AZ203" s="3"/>
      <c r="BA203" s="3"/>
      <c r="BB203" s="3"/>
      <c r="BC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84"/>
      <c r="AX204" s="85"/>
      <c r="AY204" s="3"/>
      <c r="AZ204" s="3"/>
      <c r="BA204" s="3"/>
      <c r="BB204" s="3"/>
      <c r="BC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84"/>
      <c r="AX205" s="85"/>
      <c r="AY205" s="3"/>
      <c r="AZ205" s="3"/>
      <c r="BA205" s="3"/>
      <c r="BB205" s="3"/>
      <c r="BC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84"/>
      <c r="AX206" s="85"/>
      <c r="AY206" s="3"/>
      <c r="AZ206" s="3"/>
      <c r="BA206" s="3"/>
      <c r="BB206" s="3"/>
      <c r="BC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84"/>
      <c r="AX207" s="85"/>
      <c r="AY207" s="3"/>
      <c r="AZ207" s="3"/>
      <c r="BA207" s="3"/>
      <c r="BB207" s="3"/>
      <c r="BC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84"/>
      <c r="AX208" s="85"/>
      <c r="AY208" s="3"/>
      <c r="AZ208" s="3"/>
      <c r="BA208" s="3"/>
      <c r="BB208" s="3"/>
      <c r="BC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84"/>
      <c r="AX209" s="85"/>
      <c r="AY209" s="3"/>
      <c r="AZ209" s="3"/>
      <c r="BA209" s="3"/>
      <c r="BB209" s="3"/>
      <c r="BC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84"/>
      <c r="AX210" s="85"/>
      <c r="AY210" s="3"/>
      <c r="AZ210" s="3"/>
      <c r="BA210" s="3"/>
      <c r="BB210" s="3"/>
      <c r="BC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84"/>
      <c r="AX211" s="85"/>
      <c r="AY211" s="3"/>
      <c r="AZ211" s="3"/>
      <c r="BA211" s="3"/>
      <c r="BB211" s="3"/>
      <c r="BC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84"/>
      <c r="AX212" s="85"/>
      <c r="AY212" s="3"/>
      <c r="AZ212" s="3"/>
      <c r="BA212" s="3"/>
      <c r="BB212" s="3"/>
      <c r="BC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84"/>
      <c r="AX213" s="85"/>
      <c r="AY213" s="3"/>
      <c r="AZ213" s="3"/>
      <c r="BA213" s="3"/>
      <c r="BB213" s="3"/>
      <c r="BC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84"/>
      <c r="AX214" s="85"/>
      <c r="AY214" s="3"/>
      <c r="AZ214" s="3"/>
      <c r="BA214" s="3"/>
      <c r="BB214" s="3"/>
      <c r="BC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84"/>
      <c r="AX215" s="85"/>
      <c r="AY215" s="3"/>
      <c r="AZ215" s="3"/>
      <c r="BA215" s="3"/>
      <c r="BB215" s="3"/>
      <c r="BC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84"/>
      <c r="AX216" s="85"/>
      <c r="AY216" s="3"/>
      <c r="AZ216" s="3"/>
      <c r="BA216" s="3"/>
      <c r="BB216" s="3"/>
      <c r="BC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84"/>
      <c r="AX217" s="85"/>
      <c r="AY217" s="3"/>
      <c r="AZ217" s="3"/>
      <c r="BA217" s="3"/>
      <c r="BB217" s="3"/>
      <c r="BC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84"/>
      <c r="AX218" s="85"/>
      <c r="AY218" s="3"/>
      <c r="AZ218" s="3"/>
      <c r="BA218" s="3"/>
      <c r="BB218" s="3"/>
      <c r="BC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84"/>
      <c r="AX219" s="85"/>
      <c r="AY219" s="3"/>
      <c r="AZ219" s="3"/>
      <c r="BA219" s="3"/>
      <c r="BB219" s="3"/>
      <c r="BC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84"/>
      <c r="AX220" s="85"/>
      <c r="AY220" s="3"/>
      <c r="AZ220" s="3"/>
      <c r="BA220" s="3"/>
      <c r="BB220" s="3"/>
      <c r="BC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84"/>
      <c r="AX221" s="85"/>
      <c r="AY221" s="3"/>
      <c r="AZ221" s="3"/>
      <c r="BA221" s="3"/>
      <c r="BB221" s="3"/>
      <c r="BC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84"/>
      <c r="AX222" s="85"/>
      <c r="AY222" s="3"/>
      <c r="AZ222" s="3"/>
      <c r="BA222" s="3"/>
      <c r="BB222" s="3"/>
      <c r="BC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84"/>
      <c r="AX223" s="85"/>
      <c r="AY223" s="3"/>
      <c r="AZ223" s="3"/>
      <c r="BA223" s="3"/>
      <c r="BB223" s="3"/>
      <c r="BC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84"/>
      <c r="AX224" s="85"/>
      <c r="AY224" s="3"/>
      <c r="AZ224" s="3"/>
      <c r="BA224" s="3"/>
      <c r="BB224" s="3"/>
      <c r="BC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84"/>
      <c r="AX225" s="85"/>
      <c r="AY225" s="3"/>
      <c r="AZ225" s="3"/>
      <c r="BA225" s="3"/>
      <c r="BB225" s="3"/>
      <c r="BC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84"/>
      <c r="AX226" s="85"/>
      <c r="AY226" s="3"/>
      <c r="AZ226" s="3"/>
      <c r="BA226" s="3"/>
      <c r="BB226" s="3"/>
      <c r="BC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84"/>
      <c r="AX227" s="85"/>
      <c r="AY227" s="3"/>
      <c r="AZ227" s="3"/>
      <c r="BA227" s="3"/>
      <c r="BB227" s="3"/>
      <c r="BC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84"/>
      <c r="AX228" s="85"/>
      <c r="AY228" s="3"/>
      <c r="AZ228" s="3"/>
      <c r="BA228" s="3"/>
      <c r="BB228" s="3"/>
      <c r="BC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84"/>
      <c r="AX229" s="85"/>
      <c r="AY229" s="3"/>
      <c r="AZ229" s="3"/>
      <c r="BA229" s="3"/>
      <c r="BB229" s="3"/>
      <c r="BC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84"/>
      <c r="AX230" s="85"/>
      <c r="AY230" s="3"/>
      <c r="AZ230" s="3"/>
      <c r="BA230" s="3"/>
      <c r="BB230" s="3"/>
      <c r="BC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84"/>
      <c r="AX231" s="85"/>
      <c r="AY231" s="3"/>
      <c r="AZ231" s="3"/>
      <c r="BA231" s="3"/>
      <c r="BB231" s="3"/>
      <c r="BC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84"/>
      <c r="AX232" s="85"/>
      <c r="AY232" s="3"/>
      <c r="AZ232" s="3"/>
      <c r="BA232" s="3"/>
      <c r="BB232" s="3"/>
      <c r="BC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84"/>
      <c r="AX233" s="85"/>
      <c r="AY233" s="3"/>
      <c r="AZ233" s="3"/>
      <c r="BA233" s="3"/>
      <c r="BB233" s="3"/>
      <c r="BC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84"/>
      <c r="AX234" s="85"/>
      <c r="AY234" s="3"/>
      <c r="AZ234" s="3"/>
      <c r="BA234" s="3"/>
      <c r="BB234" s="3"/>
      <c r="BC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84"/>
      <c r="AX235" s="85"/>
      <c r="AY235" s="3"/>
      <c r="AZ235" s="3"/>
      <c r="BA235" s="3"/>
      <c r="BB235" s="3"/>
      <c r="BC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84"/>
      <c r="AX236" s="85"/>
      <c r="AY236" s="3"/>
      <c r="AZ236" s="3"/>
      <c r="BA236" s="3"/>
      <c r="BB236" s="3"/>
      <c r="BC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84"/>
      <c r="AX237" s="85"/>
      <c r="AY237" s="3"/>
      <c r="AZ237" s="3"/>
      <c r="BA237" s="3"/>
      <c r="BB237" s="3"/>
      <c r="BC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84"/>
      <c r="AX238" s="85"/>
      <c r="AY238" s="3"/>
      <c r="AZ238" s="3"/>
      <c r="BA238" s="3"/>
      <c r="BB238" s="3"/>
      <c r="BC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84"/>
      <c r="AX239" s="85"/>
      <c r="AY239" s="3"/>
      <c r="AZ239" s="3"/>
      <c r="BA239" s="3"/>
      <c r="BB239" s="3"/>
      <c r="BC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84"/>
      <c r="AX240" s="85"/>
      <c r="AY240" s="3"/>
      <c r="AZ240" s="3"/>
      <c r="BA240" s="3"/>
      <c r="BB240" s="3"/>
      <c r="BC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84"/>
      <c r="AX241" s="85"/>
      <c r="AY241" s="3"/>
      <c r="AZ241" s="3"/>
      <c r="BA241" s="3"/>
      <c r="BB241" s="3"/>
      <c r="BC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84"/>
      <c r="AX242" s="85"/>
      <c r="AY242" s="3"/>
      <c r="AZ242" s="3"/>
      <c r="BA242" s="3"/>
      <c r="BB242" s="3"/>
      <c r="BC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84"/>
      <c r="AX243" s="85"/>
      <c r="AY243" s="3"/>
      <c r="AZ243" s="3"/>
      <c r="BA243" s="3"/>
      <c r="BB243" s="3"/>
      <c r="BC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84"/>
      <c r="AX244" s="85"/>
      <c r="AY244" s="3"/>
      <c r="AZ244" s="3"/>
      <c r="BA244" s="3"/>
      <c r="BB244" s="3"/>
      <c r="BC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84"/>
      <c r="AX245" s="85"/>
      <c r="AY245" s="3"/>
      <c r="AZ245" s="3"/>
      <c r="BA245" s="3"/>
      <c r="BB245" s="3"/>
      <c r="BC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84"/>
      <c r="AX246" s="85"/>
      <c r="AY246" s="3"/>
      <c r="AZ246" s="3"/>
      <c r="BA246" s="3"/>
      <c r="BB246" s="3"/>
      <c r="BC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84"/>
      <c r="AX247" s="85"/>
      <c r="AY247" s="3"/>
      <c r="AZ247" s="3"/>
      <c r="BA247" s="3"/>
      <c r="BB247" s="3"/>
      <c r="BC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84"/>
      <c r="AX248" s="85"/>
      <c r="AY248" s="3"/>
      <c r="AZ248" s="3"/>
      <c r="BA248" s="3"/>
      <c r="BB248" s="3"/>
      <c r="BC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84"/>
      <c r="AX249" s="85"/>
      <c r="AY249" s="3"/>
      <c r="AZ249" s="3"/>
      <c r="BA249" s="3"/>
      <c r="BB249" s="3"/>
      <c r="BC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84"/>
      <c r="AX250" s="85"/>
      <c r="AY250" s="3"/>
      <c r="AZ250" s="3"/>
      <c r="BA250" s="3"/>
      <c r="BB250" s="3"/>
      <c r="BC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84"/>
      <c r="AX251" s="85"/>
      <c r="AY251" s="3"/>
      <c r="AZ251" s="3"/>
      <c r="BA251" s="3"/>
      <c r="BB251" s="3"/>
      <c r="BC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84"/>
      <c r="AX252" s="85"/>
      <c r="AY252" s="3"/>
      <c r="AZ252" s="3"/>
      <c r="BA252" s="3"/>
      <c r="BB252" s="3"/>
      <c r="BC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84"/>
      <c r="AX253" s="85"/>
      <c r="AY253" s="3"/>
      <c r="AZ253" s="3"/>
      <c r="BA253" s="3"/>
      <c r="BB253" s="3"/>
      <c r="BC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84"/>
      <c r="AX254" s="85"/>
      <c r="AY254" s="3"/>
      <c r="AZ254" s="3"/>
      <c r="BA254" s="3"/>
      <c r="BB254" s="3"/>
      <c r="BC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84"/>
      <c r="AX255" s="85"/>
      <c r="AY255" s="3"/>
      <c r="AZ255" s="3"/>
      <c r="BA255" s="3"/>
      <c r="BB255" s="3"/>
      <c r="BC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84"/>
      <c r="AX256" s="85"/>
      <c r="AY256" s="3"/>
      <c r="AZ256" s="3"/>
      <c r="BA256" s="3"/>
      <c r="BB256" s="3"/>
      <c r="BC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84"/>
      <c r="AX257" s="85"/>
      <c r="AY257" s="3"/>
      <c r="AZ257" s="3"/>
      <c r="BA257" s="3"/>
      <c r="BB257" s="3"/>
      <c r="BC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84"/>
      <c r="AX258" s="85"/>
      <c r="AY258" s="3"/>
      <c r="AZ258" s="3"/>
      <c r="BA258" s="3"/>
      <c r="BB258" s="3"/>
      <c r="BC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84"/>
      <c r="AX259" s="85"/>
      <c r="AY259" s="3"/>
      <c r="AZ259" s="3"/>
      <c r="BA259" s="3"/>
      <c r="BB259" s="3"/>
      <c r="BC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84"/>
      <c r="AX260" s="85"/>
      <c r="AY260" s="3"/>
      <c r="AZ260" s="3"/>
      <c r="BA260" s="3"/>
      <c r="BB260" s="3"/>
      <c r="BC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84"/>
      <c r="AX261" s="85"/>
      <c r="AY261" s="3"/>
      <c r="AZ261" s="3"/>
      <c r="BA261" s="3"/>
      <c r="BB261" s="3"/>
      <c r="BC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84"/>
      <c r="AX262" s="85"/>
      <c r="AY262" s="3"/>
      <c r="AZ262" s="3"/>
      <c r="BA262" s="3"/>
      <c r="BB262" s="3"/>
      <c r="BC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84"/>
      <c r="AX263" s="85"/>
      <c r="AY263" s="3"/>
      <c r="AZ263" s="3"/>
      <c r="BA263" s="3"/>
      <c r="BB263" s="3"/>
      <c r="BC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84"/>
      <c r="AX264" s="85"/>
      <c r="AY264" s="3"/>
      <c r="AZ264" s="3"/>
      <c r="BA264" s="3"/>
      <c r="BB264" s="3"/>
      <c r="BC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84"/>
      <c r="AX265" s="85"/>
      <c r="AY265" s="3"/>
      <c r="AZ265" s="3"/>
      <c r="BA265" s="3"/>
      <c r="BB265" s="3"/>
      <c r="BC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84"/>
      <c r="AX266" s="85"/>
      <c r="AY266" s="3"/>
      <c r="AZ266" s="3"/>
      <c r="BA266" s="3"/>
      <c r="BB266" s="3"/>
      <c r="BC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84"/>
      <c r="AX267" s="85"/>
      <c r="AY267" s="3"/>
      <c r="AZ267" s="3"/>
      <c r="BA267" s="3"/>
      <c r="BB267" s="3"/>
      <c r="BC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84"/>
      <c r="AX268" s="85"/>
      <c r="AY268" s="3"/>
      <c r="AZ268" s="3"/>
      <c r="BA268" s="3"/>
      <c r="BB268" s="3"/>
      <c r="BC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84"/>
      <c r="AX269" s="85"/>
      <c r="AY269" s="3"/>
      <c r="AZ269" s="3"/>
      <c r="BA269" s="3"/>
      <c r="BB269" s="3"/>
      <c r="BC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84"/>
      <c r="AX270" s="85"/>
      <c r="AY270" s="3"/>
      <c r="AZ270" s="3"/>
      <c r="BA270" s="3"/>
      <c r="BB270" s="3"/>
      <c r="BC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84"/>
      <c r="AX271" s="85"/>
      <c r="AY271" s="3"/>
      <c r="AZ271" s="3"/>
      <c r="BA271" s="3"/>
      <c r="BB271" s="3"/>
      <c r="BC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84"/>
      <c r="AX272" s="85"/>
      <c r="AY272" s="3"/>
      <c r="AZ272" s="3"/>
      <c r="BA272" s="3"/>
      <c r="BB272" s="3"/>
      <c r="BC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84"/>
      <c r="AX273" s="85"/>
      <c r="AY273" s="3"/>
      <c r="AZ273" s="3"/>
      <c r="BA273" s="3"/>
      <c r="BB273" s="3"/>
      <c r="BC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84"/>
      <c r="AX274" s="85"/>
      <c r="AY274" s="3"/>
      <c r="AZ274" s="3"/>
      <c r="BA274" s="3"/>
      <c r="BB274" s="3"/>
      <c r="BC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84"/>
      <c r="AX275" s="85"/>
      <c r="AY275" s="3"/>
      <c r="AZ275" s="3"/>
      <c r="BA275" s="3"/>
      <c r="BB275" s="3"/>
      <c r="BC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84"/>
      <c r="AX276" s="85"/>
      <c r="AY276" s="3"/>
      <c r="AZ276" s="3"/>
      <c r="BA276" s="3"/>
      <c r="BB276" s="3"/>
      <c r="BC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84"/>
      <c r="AX277" s="85"/>
      <c r="AY277" s="3"/>
      <c r="AZ277" s="3"/>
      <c r="BA277" s="3"/>
      <c r="BB277" s="3"/>
      <c r="BC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84"/>
      <c r="AX278" s="85"/>
      <c r="AY278" s="3"/>
      <c r="AZ278" s="3"/>
      <c r="BA278" s="3"/>
      <c r="BB278" s="3"/>
      <c r="BC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84"/>
      <c r="AX279" s="85"/>
      <c r="AY279" s="3"/>
      <c r="AZ279" s="3"/>
      <c r="BA279" s="3"/>
      <c r="BB279" s="3"/>
      <c r="BC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84"/>
      <c r="AX280" s="85"/>
      <c r="AY280" s="3"/>
      <c r="AZ280" s="3"/>
      <c r="BA280" s="3"/>
      <c r="BB280" s="3"/>
      <c r="BC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84"/>
      <c r="AX281" s="85"/>
      <c r="AY281" s="3"/>
      <c r="AZ281" s="3"/>
      <c r="BA281" s="3"/>
      <c r="BB281" s="3"/>
      <c r="BC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84"/>
      <c r="AX282" s="85"/>
      <c r="AY282" s="3"/>
      <c r="AZ282" s="3"/>
      <c r="BA282" s="3"/>
      <c r="BB282" s="3"/>
      <c r="BC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84"/>
      <c r="AX283" s="85"/>
      <c r="AY283" s="3"/>
      <c r="AZ283" s="3"/>
      <c r="BA283" s="3"/>
      <c r="BB283" s="3"/>
      <c r="BC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84"/>
      <c r="AX284" s="85"/>
      <c r="AY284" s="3"/>
      <c r="AZ284" s="3"/>
      <c r="BA284" s="3"/>
      <c r="BB284" s="3"/>
      <c r="BC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84"/>
      <c r="AX285" s="85"/>
      <c r="AY285" s="3"/>
      <c r="AZ285" s="3"/>
      <c r="BA285" s="3"/>
      <c r="BB285" s="3"/>
      <c r="BC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84"/>
      <c r="AX286" s="85"/>
      <c r="AY286" s="3"/>
      <c r="AZ286" s="3"/>
      <c r="BA286" s="3"/>
      <c r="BB286" s="3"/>
      <c r="BC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84"/>
      <c r="AX287" s="85"/>
      <c r="AY287" s="3"/>
      <c r="AZ287" s="3"/>
      <c r="BA287" s="3"/>
      <c r="BB287" s="3"/>
      <c r="BC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84"/>
      <c r="AX288" s="85"/>
      <c r="AY288" s="3"/>
      <c r="AZ288" s="3"/>
      <c r="BA288" s="3"/>
      <c r="BB288" s="3"/>
      <c r="BC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84"/>
      <c r="AX289" s="85"/>
      <c r="AY289" s="3"/>
      <c r="AZ289" s="3"/>
      <c r="BA289" s="3"/>
      <c r="BB289" s="3"/>
      <c r="BC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84"/>
      <c r="AX290" s="85"/>
      <c r="AY290" s="3"/>
      <c r="AZ290" s="3"/>
      <c r="BA290" s="3"/>
      <c r="BB290" s="3"/>
      <c r="BC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84"/>
      <c r="AX291" s="85"/>
      <c r="AY291" s="3"/>
      <c r="AZ291" s="3"/>
      <c r="BA291" s="3"/>
      <c r="BB291" s="3"/>
      <c r="BC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84"/>
      <c r="AX292" s="85"/>
      <c r="AY292" s="3"/>
      <c r="AZ292" s="3"/>
      <c r="BA292" s="3"/>
      <c r="BB292" s="3"/>
      <c r="BC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84"/>
      <c r="AX293" s="85"/>
      <c r="AY293" s="3"/>
      <c r="AZ293" s="3"/>
      <c r="BA293" s="3"/>
      <c r="BB293" s="3"/>
      <c r="BC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84"/>
      <c r="AX294" s="85"/>
      <c r="AY294" s="3"/>
      <c r="AZ294" s="3"/>
      <c r="BA294" s="3"/>
      <c r="BB294" s="3"/>
      <c r="BC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84"/>
      <c r="AX295" s="85"/>
      <c r="AY295" s="3"/>
      <c r="AZ295" s="3"/>
      <c r="BA295" s="3"/>
      <c r="BB295" s="3"/>
      <c r="BC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84"/>
      <c r="AX296" s="85"/>
      <c r="AY296" s="3"/>
      <c r="AZ296" s="3"/>
      <c r="BA296" s="3"/>
      <c r="BB296" s="3"/>
      <c r="BC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84"/>
      <c r="AX297" s="85"/>
      <c r="AY297" s="3"/>
      <c r="AZ297" s="3"/>
      <c r="BA297" s="3"/>
      <c r="BB297" s="3"/>
      <c r="BC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84"/>
      <c r="AX298" s="85"/>
      <c r="AY298" s="3"/>
      <c r="AZ298" s="3"/>
      <c r="BA298" s="3"/>
      <c r="BB298" s="3"/>
      <c r="BC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84"/>
      <c r="AX299" s="85"/>
      <c r="AY299" s="3"/>
      <c r="AZ299" s="3"/>
      <c r="BA299" s="3"/>
      <c r="BB299" s="3"/>
      <c r="BC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84"/>
      <c r="AX300" s="85"/>
      <c r="AY300" s="3"/>
      <c r="AZ300" s="3"/>
      <c r="BA300" s="3"/>
      <c r="BB300" s="3"/>
      <c r="BC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84"/>
      <c r="AX301" s="85"/>
      <c r="AY301" s="3"/>
      <c r="AZ301" s="3"/>
      <c r="BA301" s="3"/>
      <c r="BB301" s="3"/>
      <c r="BC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84"/>
      <c r="AX302" s="85"/>
      <c r="AY302" s="3"/>
      <c r="AZ302" s="3"/>
      <c r="BA302" s="3"/>
      <c r="BB302" s="3"/>
      <c r="BC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84"/>
      <c r="AX303" s="85"/>
      <c r="AY303" s="3"/>
      <c r="AZ303" s="3"/>
      <c r="BA303" s="3"/>
      <c r="BB303" s="3"/>
      <c r="BC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84"/>
      <c r="AX304" s="85"/>
      <c r="AY304" s="3"/>
      <c r="AZ304" s="3"/>
      <c r="BA304" s="3"/>
      <c r="BB304" s="3"/>
      <c r="BC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84"/>
      <c r="AX305" s="85"/>
      <c r="AY305" s="3"/>
      <c r="AZ305" s="3"/>
      <c r="BA305" s="3"/>
      <c r="BB305" s="3"/>
      <c r="BC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84"/>
      <c r="AX306" s="85"/>
      <c r="AY306" s="3"/>
      <c r="AZ306" s="3"/>
      <c r="BA306" s="3"/>
      <c r="BB306" s="3"/>
      <c r="BC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84"/>
      <c r="AX307" s="85"/>
      <c r="AY307" s="3"/>
      <c r="AZ307" s="3"/>
      <c r="BA307" s="3"/>
      <c r="BB307" s="3"/>
      <c r="BC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84"/>
      <c r="AX308" s="85"/>
      <c r="AY308" s="3"/>
      <c r="AZ308" s="3"/>
      <c r="BA308" s="3"/>
      <c r="BB308" s="3"/>
      <c r="BC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84"/>
      <c r="AX309" s="85"/>
      <c r="AY309" s="3"/>
      <c r="AZ309" s="3"/>
      <c r="BA309" s="3"/>
      <c r="BB309" s="3"/>
      <c r="BC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84"/>
      <c r="AX310" s="85"/>
      <c r="AY310" s="3"/>
      <c r="AZ310" s="3"/>
      <c r="BA310" s="3"/>
      <c r="BB310" s="3"/>
      <c r="BC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84"/>
      <c r="AX311" s="85"/>
      <c r="AY311" s="3"/>
      <c r="AZ311" s="3"/>
      <c r="BA311" s="3"/>
      <c r="BB311" s="3"/>
      <c r="BC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84"/>
      <c r="AX312" s="85"/>
      <c r="AY312" s="3"/>
      <c r="AZ312" s="3"/>
      <c r="BA312" s="3"/>
      <c r="BB312" s="3"/>
      <c r="BC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84"/>
      <c r="AX313" s="85"/>
      <c r="AY313" s="3"/>
      <c r="AZ313" s="3"/>
      <c r="BA313" s="3"/>
      <c r="BB313" s="3"/>
      <c r="BC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84"/>
      <c r="AX314" s="85"/>
      <c r="AY314" s="3"/>
      <c r="AZ314" s="3"/>
      <c r="BA314" s="3"/>
      <c r="BB314" s="3"/>
      <c r="BC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84"/>
      <c r="AX315" s="85"/>
      <c r="AY315" s="3"/>
      <c r="AZ315" s="3"/>
      <c r="BA315" s="3"/>
      <c r="BB315" s="3"/>
      <c r="BC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84"/>
      <c r="AX316" s="85"/>
      <c r="AY316" s="3"/>
      <c r="AZ316" s="3"/>
      <c r="BA316" s="3"/>
      <c r="BB316" s="3"/>
      <c r="BC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84"/>
      <c r="AX317" s="85"/>
      <c r="AY317" s="3"/>
      <c r="AZ317" s="3"/>
      <c r="BA317" s="3"/>
      <c r="BB317" s="3"/>
      <c r="BC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84"/>
      <c r="AX318" s="85"/>
      <c r="AY318" s="3"/>
      <c r="AZ318" s="3"/>
      <c r="BA318" s="3"/>
      <c r="BB318" s="3"/>
      <c r="BC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84"/>
      <c r="AX319" s="85"/>
      <c r="AY319" s="3"/>
      <c r="AZ319" s="3"/>
      <c r="BA319" s="3"/>
      <c r="BB319" s="3"/>
      <c r="BC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84"/>
      <c r="AX320" s="85"/>
      <c r="AY320" s="3"/>
      <c r="AZ320" s="3"/>
      <c r="BA320" s="3"/>
      <c r="BB320" s="3"/>
      <c r="BC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84"/>
      <c r="AX321" s="85"/>
      <c r="AY321" s="3"/>
      <c r="AZ321" s="3"/>
      <c r="BA321" s="3"/>
      <c r="BB321" s="3"/>
      <c r="BC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84"/>
      <c r="AX322" s="85"/>
      <c r="AY322" s="3"/>
      <c r="AZ322" s="3"/>
      <c r="BA322" s="3"/>
      <c r="BB322" s="3"/>
      <c r="BC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84"/>
      <c r="AX323" s="85"/>
      <c r="AY323" s="3"/>
      <c r="AZ323" s="3"/>
      <c r="BA323" s="3"/>
      <c r="BB323" s="3"/>
      <c r="BC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84"/>
      <c r="AX324" s="85"/>
      <c r="AY324" s="3"/>
      <c r="AZ324" s="3"/>
      <c r="BA324" s="3"/>
      <c r="BB324" s="3"/>
      <c r="BC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84"/>
      <c r="AX325" s="85"/>
      <c r="AY325" s="3"/>
      <c r="AZ325" s="3"/>
      <c r="BA325" s="3"/>
      <c r="BB325" s="3"/>
      <c r="BC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84"/>
      <c r="AX326" s="85"/>
      <c r="AY326" s="3"/>
      <c r="AZ326" s="3"/>
      <c r="BA326" s="3"/>
      <c r="BB326" s="3"/>
      <c r="BC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84"/>
      <c r="AX327" s="85"/>
      <c r="AY327" s="3"/>
      <c r="AZ327" s="3"/>
      <c r="BA327" s="3"/>
      <c r="BB327" s="3"/>
      <c r="BC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84"/>
      <c r="AX328" s="85"/>
      <c r="AY328" s="3"/>
      <c r="AZ328" s="3"/>
      <c r="BA328" s="3"/>
      <c r="BB328" s="3"/>
      <c r="BC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84"/>
      <c r="AX329" s="85"/>
      <c r="AY329" s="3"/>
      <c r="AZ329" s="3"/>
      <c r="BA329" s="3"/>
      <c r="BB329" s="3"/>
      <c r="BC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84"/>
      <c r="AX330" s="85"/>
      <c r="AY330" s="3"/>
      <c r="AZ330" s="3"/>
      <c r="BA330" s="3"/>
      <c r="BB330" s="3"/>
      <c r="BC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84"/>
      <c r="AX331" s="85"/>
      <c r="AY331" s="3"/>
      <c r="AZ331" s="3"/>
      <c r="BA331" s="3"/>
      <c r="BB331" s="3"/>
      <c r="BC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84"/>
      <c r="AX332" s="85"/>
      <c r="AY332" s="3"/>
      <c r="AZ332" s="3"/>
      <c r="BA332" s="3"/>
      <c r="BB332" s="3"/>
      <c r="BC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84"/>
      <c r="AX333" s="85"/>
      <c r="AY333" s="3"/>
      <c r="AZ333" s="3"/>
      <c r="BA333" s="3"/>
      <c r="BB333" s="3"/>
      <c r="BC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84"/>
      <c r="AX334" s="85"/>
      <c r="AY334" s="3"/>
      <c r="AZ334" s="3"/>
      <c r="BA334" s="3"/>
      <c r="BB334" s="3"/>
      <c r="BC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84"/>
      <c r="AX335" s="85"/>
      <c r="AY335" s="3"/>
      <c r="AZ335" s="3"/>
      <c r="BA335" s="3"/>
      <c r="BB335" s="3"/>
      <c r="BC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84"/>
      <c r="AX336" s="85"/>
      <c r="AY336" s="3"/>
      <c r="AZ336" s="3"/>
      <c r="BA336" s="3"/>
      <c r="BB336" s="3"/>
      <c r="BC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84"/>
      <c r="AX337" s="85"/>
      <c r="AY337" s="3"/>
      <c r="AZ337" s="3"/>
      <c r="BA337" s="3"/>
      <c r="BB337" s="3"/>
      <c r="BC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84"/>
      <c r="AX338" s="85"/>
      <c r="AY338" s="3"/>
      <c r="AZ338" s="3"/>
      <c r="BA338" s="3"/>
      <c r="BB338" s="3"/>
      <c r="BC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84"/>
      <c r="AX339" s="85"/>
      <c r="AY339" s="3"/>
      <c r="AZ339" s="3"/>
      <c r="BA339" s="3"/>
      <c r="BB339" s="3"/>
      <c r="BC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84"/>
      <c r="AX340" s="85"/>
      <c r="AY340" s="3"/>
      <c r="AZ340" s="3"/>
      <c r="BA340" s="3"/>
      <c r="BB340" s="3"/>
      <c r="BC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84"/>
      <c r="AX341" s="85"/>
      <c r="AY341" s="3"/>
      <c r="AZ341" s="3"/>
      <c r="BA341" s="3"/>
      <c r="BB341" s="3"/>
      <c r="BC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84"/>
      <c r="AX342" s="85"/>
      <c r="AY342" s="3"/>
      <c r="AZ342" s="3"/>
      <c r="BA342" s="3"/>
      <c r="BB342" s="3"/>
      <c r="BC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84"/>
      <c r="AX343" s="85"/>
      <c r="AY343" s="3"/>
      <c r="AZ343" s="3"/>
      <c r="BA343" s="3"/>
      <c r="BB343" s="3"/>
      <c r="BC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84"/>
      <c r="AX344" s="85"/>
      <c r="AY344" s="3"/>
      <c r="AZ344" s="3"/>
      <c r="BA344" s="3"/>
      <c r="BB344" s="3"/>
      <c r="BC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84"/>
      <c r="AX345" s="85"/>
      <c r="AY345" s="3"/>
      <c r="AZ345" s="3"/>
      <c r="BA345" s="3"/>
      <c r="BB345" s="3"/>
      <c r="BC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84"/>
      <c r="AX346" s="85"/>
      <c r="AY346" s="3"/>
      <c r="AZ346" s="3"/>
      <c r="BA346" s="3"/>
      <c r="BB346" s="3"/>
      <c r="BC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84"/>
      <c r="AX347" s="85"/>
      <c r="AY347" s="3"/>
      <c r="AZ347" s="3"/>
      <c r="BA347" s="3"/>
      <c r="BB347" s="3"/>
      <c r="BC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84"/>
      <c r="AX348" s="85"/>
      <c r="AY348" s="3"/>
      <c r="AZ348" s="3"/>
      <c r="BA348" s="3"/>
      <c r="BB348" s="3"/>
      <c r="BC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84"/>
      <c r="AX349" s="85"/>
      <c r="AY349" s="3"/>
      <c r="AZ349" s="3"/>
      <c r="BA349" s="3"/>
      <c r="BB349" s="3"/>
      <c r="BC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84"/>
      <c r="AX350" s="85"/>
      <c r="AY350" s="3"/>
      <c r="AZ350" s="3"/>
      <c r="BA350" s="3"/>
      <c r="BB350" s="3"/>
      <c r="BC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84"/>
      <c r="AX351" s="85"/>
      <c r="AY351" s="3"/>
      <c r="AZ351" s="3"/>
      <c r="BA351" s="3"/>
      <c r="BB351" s="3"/>
      <c r="BC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84"/>
      <c r="AX352" s="85"/>
      <c r="AY352" s="3"/>
      <c r="AZ352" s="3"/>
      <c r="BA352" s="3"/>
      <c r="BB352" s="3"/>
      <c r="BC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84"/>
      <c r="AX353" s="85"/>
      <c r="AY353" s="3"/>
      <c r="AZ353" s="3"/>
      <c r="BA353" s="3"/>
      <c r="BB353" s="3"/>
      <c r="BC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84"/>
      <c r="AX354" s="85"/>
      <c r="AY354" s="3"/>
      <c r="AZ354" s="3"/>
      <c r="BA354" s="3"/>
      <c r="BB354" s="3"/>
      <c r="BC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84"/>
      <c r="AX355" s="85"/>
      <c r="AY355" s="3"/>
      <c r="AZ355" s="3"/>
      <c r="BA355" s="3"/>
      <c r="BB355" s="3"/>
      <c r="BC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84"/>
      <c r="AX356" s="85"/>
      <c r="AY356" s="3"/>
      <c r="AZ356" s="3"/>
      <c r="BA356" s="3"/>
      <c r="BB356" s="3"/>
      <c r="BC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84"/>
      <c r="AX357" s="85"/>
      <c r="AY357" s="3"/>
      <c r="AZ357" s="3"/>
      <c r="BA357" s="3"/>
      <c r="BB357" s="3"/>
      <c r="BC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84"/>
      <c r="AX358" s="85"/>
      <c r="AY358" s="3"/>
      <c r="AZ358" s="3"/>
      <c r="BA358" s="3"/>
      <c r="BB358" s="3"/>
      <c r="BC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84"/>
      <c r="AX359" s="85"/>
      <c r="AY359" s="3"/>
      <c r="AZ359" s="3"/>
      <c r="BA359" s="3"/>
      <c r="BB359" s="3"/>
      <c r="BC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84"/>
      <c r="AX360" s="85"/>
      <c r="AY360" s="3"/>
      <c r="AZ360" s="3"/>
      <c r="BA360" s="3"/>
      <c r="BB360" s="3"/>
      <c r="BC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84"/>
      <c r="AX361" s="85"/>
      <c r="AY361" s="3"/>
      <c r="AZ361" s="3"/>
      <c r="BA361" s="3"/>
      <c r="BB361" s="3"/>
      <c r="BC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84"/>
      <c r="AX362" s="85"/>
      <c r="AY362" s="3"/>
      <c r="AZ362" s="3"/>
      <c r="BA362" s="3"/>
      <c r="BB362" s="3"/>
      <c r="BC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84"/>
      <c r="AX363" s="85"/>
      <c r="AY363" s="3"/>
      <c r="AZ363" s="3"/>
      <c r="BA363" s="3"/>
      <c r="BB363" s="3"/>
      <c r="BC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84"/>
      <c r="AX364" s="85"/>
      <c r="AY364" s="3"/>
      <c r="AZ364" s="3"/>
      <c r="BA364" s="3"/>
      <c r="BB364" s="3"/>
      <c r="BC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84"/>
      <c r="AX365" s="85"/>
      <c r="AY365" s="3"/>
      <c r="AZ365" s="3"/>
      <c r="BA365" s="3"/>
      <c r="BB365" s="3"/>
      <c r="BC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84"/>
      <c r="AX366" s="85"/>
      <c r="AY366" s="3"/>
      <c r="AZ366" s="3"/>
      <c r="BA366" s="3"/>
      <c r="BB366" s="3"/>
      <c r="BC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84"/>
      <c r="AX367" s="85"/>
      <c r="AY367" s="3"/>
      <c r="AZ367" s="3"/>
      <c r="BA367" s="3"/>
      <c r="BB367" s="3"/>
      <c r="BC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84"/>
      <c r="AX368" s="85"/>
      <c r="AY368" s="3"/>
      <c r="AZ368" s="3"/>
      <c r="BA368" s="3"/>
      <c r="BB368" s="3"/>
      <c r="BC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84"/>
      <c r="AX369" s="85"/>
      <c r="AY369" s="3"/>
      <c r="AZ369" s="3"/>
      <c r="BA369" s="3"/>
      <c r="BB369" s="3"/>
      <c r="BC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84"/>
      <c r="AX370" s="85"/>
      <c r="AY370" s="3"/>
      <c r="AZ370" s="3"/>
      <c r="BA370" s="3"/>
      <c r="BB370" s="3"/>
      <c r="BC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84"/>
      <c r="AX371" s="85"/>
      <c r="AY371" s="3"/>
      <c r="AZ371" s="3"/>
      <c r="BA371" s="3"/>
      <c r="BB371" s="3"/>
      <c r="BC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84"/>
      <c r="AX372" s="85"/>
      <c r="AY372" s="3"/>
      <c r="AZ372" s="3"/>
      <c r="BA372" s="3"/>
      <c r="BB372" s="3"/>
      <c r="BC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84"/>
      <c r="AX373" s="85"/>
      <c r="AY373" s="3"/>
      <c r="AZ373" s="3"/>
      <c r="BA373" s="3"/>
      <c r="BB373" s="3"/>
      <c r="BC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84"/>
      <c r="AX374" s="85"/>
      <c r="AY374" s="3"/>
      <c r="AZ374" s="3"/>
      <c r="BA374" s="3"/>
      <c r="BB374" s="3"/>
      <c r="BC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84"/>
      <c r="AX375" s="85"/>
      <c r="AY375" s="3"/>
      <c r="AZ375" s="3"/>
      <c r="BA375" s="3"/>
      <c r="BB375" s="3"/>
      <c r="BC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84"/>
      <c r="AX376" s="85"/>
      <c r="AY376" s="3"/>
      <c r="AZ376" s="3"/>
      <c r="BA376" s="3"/>
      <c r="BB376" s="3"/>
      <c r="BC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84"/>
      <c r="AX377" s="85"/>
      <c r="AY377" s="3"/>
      <c r="AZ377" s="3"/>
      <c r="BA377" s="3"/>
      <c r="BB377" s="3"/>
      <c r="BC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84"/>
      <c r="AX378" s="85"/>
      <c r="AY378" s="3"/>
      <c r="AZ378" s="3"/>
      <c r="BA378" s="3"/>
      <c r="BB378" s="3"/>
      <c r="BC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84"/>
      <c r="AX379" s="85"/>
      <c r="AY379" s="3"/>
      <c r="AZ379" s="3"/>
      <c r="BA379" s="3"/>
      <c r="BB379" s="3"/>
      <c r="BC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84"/>
      <c r="AX380" s="85"/>
      <c r="AY380" s="3"/>
      <c r="AZ380" s="3"/>
      <c r="BA380" s="3"/>
      <c r="BB380" s="3"/>
      <c r="BC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84"/>
      <c r="AX381" s="85"/>
      <c r="AY381" s="3"/>
      <c r="AZ381" s="3"/>
      <c r="BA381" s="3"/>
      <c r="BB381" s="3"/>
      <c r="BC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84"/>
      <c r="AX382" s="85"/>
      <c r="AY382" s="3"/>
      <c r="AZ382" s="3"/>
      <c r="BA382" s="3"/>
      <c r="BB382" s="3"/>
      <c r="BC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84"/>
      <c r="AX383" s="85"/>
      <c r="AY383" s="3"/>
      <c r="AZ383" s="3"/>
      <c r="BA383" s="3"/>
      <c r="BB383" s="3"/>
      <c r="BC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84"/>
      <c r="AX384" s="85"/>
      <c r="AY384" s="3"/>
      <c r="AZ384" s="3"/>
      <c r="BA384" s="3"/>
      <c r="BB384" s="3"/>
      <c r="BC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84"/>
      <c r="AX385" s="85"/>
      <c r="AY385" s="3"/>
      <c r="AZ385" s="3"/>
      <c r="BA385" s="3"/>
      <c r="BB385" s="3"/>
      <c r="BC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84"/>
      <c r="AX386" s="85"/>
      <c r="AY386" s="3"/>
      <c r="AZ386" s="3"/>
      <c r="BA386" s="3"/>
      <c r="BB386" s="3"/>
      <c r="BC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84"/>
      <c r="AX387" s="85"/>
      <c r="AY387" s="3"/>
      <c r="AZ387" s="3"/>
      <c r="BA387" s="3"/>
      <c r="BB387" s="3"/>
      <c r="BC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84"/>
      <c r="AX388" s="85"/>
      <c r="AY388" s="3"/>
      <c r="AZ388" s="3"/>
      <c r="BA388" s="3"/>
      <c r="BB388" s="3"/>
      <c r="BC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84"/>
      <c r="AX389" s="85"/>
      <c r="AY389" s="3"/>
      <c r="AZ389" s="3"/>
      <c r="BA389" s="3"/>
      <c r="BB389" s="3"/>
      <c r="BC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84"/>
      <c r="AX390" s="85"/>
      <c r="AY390" s="3"/>
      <c r="AZ390" s="3"/>
      <c r="BA390" s="3"/>
      <c r="BB390" s="3"/>
      <c r="BC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84"/>
      <c r="AX391" s="85"/>
      <c r="AY391" s="3"/>
      <c r="AZ391" s="3"/>
      <c r="BA391" s="3"/>
      <c r="BB391" s="3"/>
      <c r="BC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84"/>
      <c r="AX392" s="85"/>
      <c r="AY392" s="3"/>
      <c r="AZ392" s="3"/>
      <c r="BA392" s="3"/>
      <c r="BB392" s="3"/>
      <c r="BC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84"/>
      <c r="AX393" s="85"/>
      <c r="AY393" s="3"/>
      <c r="AZ393" s="3"/>
      <c r="BA393" s="3"/>
      <c r="BB393" s="3"/>
      <c r="BC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84"/>
      <c r="AX394" s="85"/>
      <c r="AY394" s="3"/>
      <c r="AZ394" s="3"/>
      <c r="BA394" s="3"/>
      <c r="BB394" s="3"/>
      <c r="BC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84"/>
      <c r="AX395" s="85"/>
      <c r="AY395" s="3"/>
      <c r="AZ395" s="3"/>
      <c r="BA395" s="3"/>
      <c r="BB395" s="3"/>
      <c r="BC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84"/>
      <c r="AX396" s="85"/>
      <c r="AY396" s="3"/>
      <c r="AZ396" s="3"/>
      <c r="BA396" s="3"/>
      <c r="BB396" s="3"/>
      <c r="BC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84"/>
      <c r="AX397" s="85"/>
      <c r="AY397" s="3"/>
      <c r="AZ397" s="3"/>
      <c r="BA397" s="3"/>
      <c r="BB397" s="3"/>
      <c r="BC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84"/>
      <c r="AX398" s="85"/>
      <c r="AY398" s="3"/>
      <c r="AZ398" s="3"/>
      <c r="BA398" s="3"/>
      <c r="BB398" s="3"/>
      <c r="BC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84"/>
      <c r="AX399" s="85"/>
      <c r="AY399" s="3"/>
      <c r="AZ399" s="3"/>
      <c r="BA399" s="3"/>
      <c r="BB399" s="3"/>
      <c r="BC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84"/>
      <c r="AX400" s="85"/>
      <c r="AY400" s="3"/>
      <c r="AZ400" s="3"/>
      <c r="BA400" s="3"/>
      <c r="BB400" s="3"/>
      <c r="BC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84"/>
      <c r="AX401" s="85"/>
      <c r="AY401" s="3"/>
      <c r="AZ401" s="3"/>
      <c r="BA401" s="3"/>
      <c r="BB401" s="3"/>
      <c r="BC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84"/>
      <c r="AX402" s="85"/>
      <c r="AY402" s="3"/>
      <c r="AZ402" s="3"/>
      <c r="BA402" s="3"/>
      <c r="BB402" s="3"/>
      <c r="BC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84"/>
      <c r="AX403" s="85"/>
      <c r="AY403" s="3"/>
      <c r="AZ403" s="3"/>
      <c r="BA403" s="3"/>
      <c r="BB403" s="3"/>
      <c r="BC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84"/>
      <c r="AX404" s="85"/>
      <c r="AY404" s="3"/>
      <c r="AZ404" s="3"/>
      <c r="BA404" s="3"/>
      <c r="BB404" s="3"/>
      <c r="BC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84"/>
      <c r="AX405" s="85"/>
      <c r="AY405" s="3"/>
      <c r="AZ405" s="3"/>
      <c r="BA405" s="3"/>
      <c r="BB405" s="3"/>
      <c r="BC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84"/>
      <c r="AX406" s="85"/>
      <c r="AY406" s="3"/>
      <c r="AZ406" s="3"/>
      <c r="BA406" s="3"/>
      <c r="BB406" s="3"/>
      <c r="BC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84"/>
      <c r="AX407" s="85"/>
      <c r="AY407" s="3"/>
      <c r="AZ407" s="3"/>
      <c r="BA407" s="3"/>
      <c r="BB407" s="3"/>
      <c r="BC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84"/>
      <c r="AX408" s="85"/>
      <c r="AY408" s="3"/>
      <c r="AZ408" s="3"/>
      <c r="BA408" s="3"/>
      <c r="BB408" s="3"/>
      <c r="BC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84"/>
      <c r="AX409" s="85"/>
      <c r="AY409" s="3"/>
      <c r="AZ409" s="3"/>
      <c r="BA409" s="3"/>
      <c r="BB409" s="3"/>
      <c r="BC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84"/>
      <c r="AX410" s="85"/>
      <c r="AY410" s="3"/>
      <c r="AZ410" s="3"/>
      <c r="BA410" s="3"/>
      <c r="BB410" s="3"/>
      <c r="BC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84"/>
      <c r="AX411" s="85"/>
      <c r="AY411" s="3"/>
      <c r="AZ411" s="3"/>
      <c r="BA411" s="3"/>
      <c r="BB411" s="3"/>
      <c r="BC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84"/>
      <c r="AX412" s="85"/>
      <c r="AY412" s="3"/>
      <c r="AZ412" s="3"/>
      <c r="BA412" s="3"/>
      <c r="BB412" s="3"/>
      <c r="BC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84"/>
      <c r="AX413" s="85"/>
      <c r="AY413" s="3"/>
      <c r="AZ413" s="3"/>
      <c r="BA413" s="3"/>
      <c r="BB413" s="3"/>
      <c r="BC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84"/>
      <c r="AX414" s="85"/>
      <c r="AY414" s="3"/>
      <c r="AZ414" s="3"/>
      <c r="BA414" s="3"/>
      <c r="BB414" s="3"/>
      <c r="BC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84"/>
      <c r="AX415" s="85"/>
      <c r="AY415" s="3"/>
      <c r="AZ415" s="3"/>
      <c r="BA415" s="3"/>
      <c r="BB415" s="3"/>
      <c r="BC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84"/>
      <c r="AX416" s="85"/>
      <c r="AY416" s="3"/>
      <c r="AZ416" s="3"/>
      <c r="BA416" s="3"/>
      <c r="BB416" s="3"/>
      <c r="BC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84"/>
      <c r="AX417" s="85"/>
      <c r="AY417" s="3"/>
      <c r="AZ417" s="3"/>
      <c r="BA417" s="3"/>
      <c r="BB417" s="3"/>
      <c r="BC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84"/>
      <c r="AX418" s="85"/>
      <c r="AY418" s="3"/>
      <c r="AZ418" s="3"/>
      <c r="BA418" s="3"/>
      <c r="BB418" s="3"/>
      <c r="BC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84"/>
      <c r="AX419" s="85"/>
      <c r="AY419" s="3"/>
      <c r="AZ419" s="3"/>
      <c r="BA419" s="3"/>
      <c r="BB419" s="3"/>
      <c r="BC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84"/>
      <c r="AX420" s="85"/>
      <c r="AY420" s="3"/>
      <c r="AZ420" s="3"/>
      <c r="BA420" s="3"/>
      <c r="BB420" s="3"/>
      <c r="BC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84"/>
      <c r="AX421" s="85"/>
      <c r="AY421" s="3"/>
      <c r="AZ421" s="3"/>
      <c r="BA421" s="3"/>
      <c r="BB421" s="3"/>
      <c r="BC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84"/>
      <c r="AX422" s="85"/>
      <c r="AY422" s="3"/>
      <c r="AZ422" s="3"/>
      <c r="BA422" s="3"/>
      <c r="BB422" s="3"/>
      <c r="BC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84"/>
      <c r="AX423" s="85"/>
      <c r="AY423" s="3"/>
      <c r="AZ423" s="3"/>
      <c r="BA423" s="3"/>
      <c r="BB423" s="3"/>
      <c r="BC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84"/>
      <c r="AX424" s="85"/>
      <c r="AY424" s="3"/>
      <c r="AZ424" s="3"/>
      <c r="BA424" s="3"/>
      <c r="BB424" s="3"/>
      <c r="BC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84"/>
      <c r="AX425" s="85"/>
      <c r="AY425" s="3"/>
      <c r="AZ425" s="3"/>
      <c r="BA425" s="3"/>
      <c r="BB425" s="3"/>
      <c r="BC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84"/>
      <c r="AX426" s="85"/>
      <c r="AY426" s="3"/>
      <c r="AZ426" s="3"/>
      <c r="BA426" s="3"/>
      <c r="BB426" s="3"/>
      <c r="BC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84"/>
      <c r="AX427" s="85"/>
      <c r="AY427" s="3"/>
      <c r="AZ427" s="3"/>
      <c r="BA427" s="3"/>
      <c r="BB427" s="3"/>
      <c r="BC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84"/>
      <c r="AX428" s="85"/>
      <c r="AY428" s="3"/>
      <c r="AZ428" s="3"/>
      <c r="BA428" s="3"/>
      <c r="BB428" s="3"/>
      <c r="BC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84"/>
      <c r="AX429" s="85"/>
      <c r="AY429" s="3"/>
      <c r="AZ429" s="3"/>
      <c r="BA429" s="3"/>
      <c r="BB429" s="3"/>
      <c r="BC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84"/>
      <c r="AX430" s="85"/>
      <c r="AY430" s="3"/>
      <c r="AZ430" s="3"/>
      <c r="BA430" s="3"/>
      <c r="BB430" s="3"/>
      <c r="BC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84"/>
      <c r="AX431" s="85"/>
      <c r="AY431" s="3"/>
      <c r="AZ431" s="3"/>
      <c r="BA431" s="3"/>
      <c r="BB431" s="3"/>
      <c r="BC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84"/>
      <c r="AX432" s="85"/>
      <c r="AY432" s="3"/>
      <c r="AZ432" s="3"/>
      <c r="BA432" s="3"/>
      <c r="BB432" s="3"/>
      <c r="BC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84"/>
      <c r="AX433" s="85"/>
      <c r="AY433" s="3"/>
      <c r="AZ433" s="3"/>
      <c r="BA433" s="3"/>
      <c r="BB433" s="3"/>
      <c r="BC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84"/>
      <c r="AX434" s="85"/>
      <c r="AY434" s="3"/>
      <c r="AZ434" s="3"/>
      <c r="BA434" s="3"/>
      <c r="BB434" s="3"/>
      <c r="BC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84"/>
      <c r="AX435" s="85"/>
      <c r="AY435" s="3"/>
      <c r="AZ435" s="3"/>
      <c r="BA435" s="3"/>
      <c r="BB435" s="3"/>
      <c r="BC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84"/>
      <c r="AX436" s="85"/>
      <c r="AY436" s="3"/>
      <c r="AZ436" s="3"/>
      <c r="BA436" s="3"/>
      <c r="BB436" s="3"/>
      <c r="BC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84"/>
      <c r="AX437" s="85"/>
      <c r="AY437" s="3"/>
      <c r="AZ437" s="3"/>
      <c r="BA437" s="3"/>
      <c r="BB437" s="3"/>
      <c r="BC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84"/>
      <c r="AX438" s="85"/>
      <c r="AY438" s="3"/>
      <c r="AZ438" s="3"/>
      <c r="BA438" s="3"/>
      <c r="BB438" s="3"/>
      <c r="BC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84"/>
      <c r="AX439" s="85"/>
      <c r="AY439" s="3"/>
      <c r="AZ439" s="3"/>
      <c r="BA439" s="3"/>
      <c r="BB439" s="3"/>
      <c r="BC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84"/>
      <c r="AX440" s="85"/>
      <c r="AY440" s="3"/>
      <c r="AZ440" s="3"/>
      <c r="BA440" s="3"/>
      <c r="BB440" s="3"/>
      <c r="BC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84"/>
      <c r="AX441" s="85"/>
      <c r="AY441" s="3"/>
      <c r="AZ441" s="3"/>
      <c r="BA441" s="3"/>
      <c r="BB441" s="3"/>
      <c r="BC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84"/>
      <c r="AX442" s="85"/>
      <c r="AY442" s="3"/>
      <c r="AZ442" s="3"/>
      <c r="BA442" s="3"/>
      <c r="BB442" s="3"/>
      <c r="BC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84"/>
      <c r="AX443" s="85"/>
      <c r="AY443" s="3"/>
      <c r="AZ443" s="3"/>
      <c r="BA443" s="3"/>
      <c r="BB443" s="3"/>
      <c r="BC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84"/>
      <c r="AX444" s="85"/>
      <c r="AY444" s="3"/>
      <c r="AZ444" s="3"/>
      <c r="BA444" s="3"/>
      <c r="BB444" s="3"/>
      <c r="BC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84"/>
      <c r="AX445" s="85"/>
      <c r="AY445" s="3"/>
      <c r="AZ445" s="3"/>
      <c r="BA445" s="3"/>
      <c r="BB445" s="3"/>
      <c r="BC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84"/>
      <c r="AX446" s="85"/>
      <c r="AY446" s="3"/>
      <c r="AZ446" s="3"/>
      <c r="BA446" s="3"/>
      <c r="BB446" s="3"/>
      <c r="BC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84"/>
      <c r="AX447" s="85"/>
      <c r="AY447" s="3"/>
      <c r="AZ447" s="3"/>
      <c r="BA447" s="3"/>
      <c r="BB447" s="3"/>
      <c r="BC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84"/>
      <c r="AX448" s="85"/>
      <c r="AY448" s="3"/>
      <c r="AZ448" s="3"/>
      <c r="BA448" s="3"/>
      <c r="BB448" s="3"/>
      <c r="BC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84"/>
      <c r="AX449" s="85"/>
      <c r="AY449" s="3"/>
      <c r="AZ449" s="3"/>
      <c r="BA449" s="3"/>
      <c r="BB449" s="3"/>
      <c r="BC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84"/>
      <c r="AX450" s="85"/>
      <c r="AY450" s="3"/>
      <c r="AZ450" s="3"/>
      <c r="BA450" s="3"/>
      <c r="BB450" s="3"/>
      <c r="BC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84"/>
      <c r="AX451" s="85"/>
      <c r="AY451" s="3"/>
      <c r="AZ451" s="3"/>
      <c r="BA451" s="3"/>
      <c r="BB451" s="3"/>
      <c r="BC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84"/>
      <c r="AX452" s="85"/>
      <c r="AY452" s="3"/>
      <c r="AZ452" s="3"/>
      <c r="BA452" s="3"/>
      <c r="BB452" s="3"/>
      <c r="BC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84"/>
      <c r="AX453" s="85"/>
      <c r="AY453" s="3"/>
      <c r="AZ453" s="3"/>
      <c r="BA453" s="3"/>
      <c r="BB453" s="3"/>
      <c r="BC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84"/>
      <c r="AX454" s="85"/>
      <c r="AY454" s="3"/>
      <c r="AZ454" s="3"/>
      <c r="BA454" s="3"/>
      <c r="BB454" s="3"/>
      <c r="BC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84"/>
      <c r="AX455" s="85"/>
      <c r="AY455" s="3"/>
      <c r="AZ455" s="3"/>
      <c r="BA455" s="3"/>
      <c r="BB455" s="3"/>
      <c r="BC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84"/>
      <c r="AX456" s="85"/>
      <c r="AY456" s="3"/>
      <c r="AZ456" s="3"/>
      <c r="BA456" s="3"/>
      <c r="BB456" s="3"/>
      <c r="BC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84"/>
      <c r="AX457" s="85"/>
      <c r="AY457" s="3"/>
      <c r="AZ457" s="3"/>
      <c r="BA457" s="3"/>
      <c r="BB457" s="3"/>
      <c r="BC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84"/>
      <c r="AX458" s="85"/>
      <c r="AY458" s="3"/>
      <c r="AZ458" s="3"/>
      <c r="BA458" s="3"/>
      <c r="BB458" s="3"/>
      <c r="BC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84"/>
      <c r="AX459" s="85"/>
      <c r="AY459" s="3"/>
      <c r="AZ459" s="3"/>
      <c r="BA459" s="3"/>
      <c r="BB459" s="3"/>
      <c r="BC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84"/>
      <c r="AX460" s="85"/>
      <c r="AY460" s="3"/>
      <c r="AZ460" s="3"/>
      <c r="BA460" s="3"/>
      <c r="BB460" s="3"/>
      <c r="BC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84"/>
      <c r="AX461" s="85"/>
      <c r="AY461" s="3"/>
      <c r="AZ461" s="3"/>
      <c r="BA461" s="3"/>
      <c r="BB461" s="3"/>
      <c r="BC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84"/>
      <c r="AX462" s="85"/>
      <c r="AY462" s="3"/>
      <c r="AZ462" s="3"/>
      <c r="BA462" s="3"/>
      <c r="BB462" s="3"/>
      <c r="BC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84"/>
      <c r="AX463" s="85"/>
      <c r="AY463" s="3"/>
      <c r="AZ463" s="3"/>
      <c r="BA463" s="3"/>
      <c r="BB463" s="3"/>
      <c r="BC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84"/>
      <c r="AX464" s="85"/>
      <c r="AY464" s="3"/>
      <c r="AZ464" s="3"/>
      <c r="BA464" s="3"/>
      <c r="BB464" s="3"/>
      <c r="BC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84"/>
      <c r="AX465" s="85"/>
      <c r="AY465" s="3"/>
      <c r="AZ465" s="3"/>
      <c r="BA465" s="3"/>
      <c r="BB465" s="3"/>
      <c r="BC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84"/>
      <c r="AX466" s="85"/>
      <c r="AY466" s="3"/>
      <c r="AZ466" s="3"/>
      <c r="BA466" s="3"/>
      <c r="BB466" s="3"/>
      <c r="BC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84"/>
      <c r="AX467" s="85"/>
      <c r="AY467" s="3"/>
      <c r="AZ467" s="3"/>
      <c r="BA467" s="3"/>
      <c r="BB467" s="3"/>
      <c r="BC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84"/>
      <c r="AX468" s="85"/>
      <c r="AY468" s="3"/>
      <c r="AZ468" s="3"/>
      <c r="BA468" s="3"/>
      <c r="BB468" s="3"/>
      <c r="BC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84"/>
      <c r="AX469" s="85"/>
      <c r="AY469" s="3"/>
      <c r="AZ469" s="3"/>
      <c r="BA469" s="3"/>
      <c r="BB469" s="3"/>
      <c r="BC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84"/>
      <c r="AX470" s="85"/>
      <c r="AY470" s="3"/>
      <c r="AZ470" s="3"/>
      <c r="BA470" s="3"/>
      <c r="BB470" s="3"/>
      <c r="BC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84"/>
      <c r="AX471" s="85"/>
      <c r="AY471" s="3"/>
      <c r="AZ471" s="3"/>
      <c r="BA471" s="3"/>
      <c r="BB471" s="3"/>
      <c r="BC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84"/>
      <c r="AX472" s="85"/>
      <c r="AY472" s="3"/>
      <c r="AZ472" s="3"/>
      <c r="BA472" s="3"/>
      <c r="BB472" s="3"/>
      <c r="BC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84"/>
      <c r="AX473" s="85"/>
      <c r="AY473" s="3"/>
      <c r="AZ473" s="3"/>
      <c r="BA473" s="3"/>
      <c r="BB473" s="3"/>
      <c r="BC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84"/>
      <c r="AX474" s="85"/>
      <c r="AY474" s="3"/>
      <c r="AZ474" s="3"/>
      <c r="BA474" s="3"/>
      <c r="BB474" s="3"/>
      <c r="BC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84"/>
      <c r="AX475" s="85"/>
      <c r="AY475" s="3"/>
      <c r="AZ475" s="3"/>
      <c r="BA475" s="3"/>
      <c r="BB475" s="3"/>
      <c r="BC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84"/>
      <c r="AX476" s="85"/>
      <c r="AY476" s="3"/>
      <c r="AZ476" s="3"/>
      <c r="BA476" s="3"/>
      <c r="BB476" s="3"/>
      <c r="BC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84"/>
      <c r="AX477" s="85"/>
      <c r="AY477" s="3"/>
      <c r="AZ477" s="3"/>
      <c r="BA477" s="3"/>
      <c r="BB477" s="3"/>
      <c r="BC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84"/>
      <c r="AX478" s="85"/>
      <c r="AY478" s="3"/>
      <c r="AZ478" s="3"/>
      <c r="BA478" s="3"/>
      <c r="BB478" s="3"/>
      <c r="BC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84"/>
      <c r="AX479" s="85"/>
      <c r="AY479" s="3"/>
      <c r="AZ479" s="3"/>
      <c r="BA479" s="3"/>
      <c r="BB479" s="3"/>
      <c r="BC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84"/>
      <c r="AX480" s="85"/>
      <c r="AY480" s="3"/>
      <c r="AZ480" s="3"/>
      <c r="BA480" s="3"/>
      <c r="BB480" s="3"/>
      <c r="BC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84"/>
      <c r="AX481" s="85"/>
      <c r="AY481" s="3"/>
      <c r="AZ481" s="3"/>
      <c r="BA481" s="3"/>
      <c r="BB481" s="3"/>
      <c r="BC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84"/>
      <c r="AX482" s="85"/>
      <c r="AY482" s="3"/>
      <c r="AZ482" s="3"/>
      <c r="BA482" s="3"/>
      <c r="BB482" s="3"/>
      <c r="BC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84"/>
      <c r="AX483" s="85"/>
      <c r="AY483" s="3"/>
      <c r="AZ483" s="3"/>
      <c r="BA483" s="3"/>
      <c r="BB483" s="3"/>
      <c r="BC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84"/>
      <c r="AX484" s="85"/>
      <c r="AY484" s="3"/>
      <c r="AZ484" s="3"/>
      <c r="BA484" s="3"/>
      <c r="BB484" s="3"/>
      <c r="BC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84"/>
      <c r="AX485" s="85"/>
      <c r="AY485" s="3"/>
      <c r="AZ485" s="3"/>
      <c r="BA485" s="3"/>
      <c r="BB485" s="3"/>
      <c r="BC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84"/>
      <c r="AX486" s="85"/>
      <c r="AY486" s="3"/>
      <c r="AZ486" s="3"/>
      <c r="BA486" s="3"/>
      <c r="BB486" s="3"/>
      <c r="BC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84"/>
      <c r="AX487" s="85"/>
      <c r="AY487" s="3"/>
      <c r="AZ487" s="3"/>
      <c r="BA487" s="3"/>
      <c r="BB487" s="3"/>
      <c r="BC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84"/>
      <c r="AX488" s="85"/>
      <c r="AY488" s="3"/>
      <c r="AZ488" s="3"/>
      <c r="BA488" s="3"/>
      <c r="BB488" s="3"/>
      <c r="BC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84"/>
      <c r="AX489" s="85"/>
      <c r="AY489" s="3"/>
      <c r="AZ489" s="3"/>
      <c r="BA489" s="3"/>
      <c r="BB489" s="3"/>
      <c r="BC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84"/>
      <c r="AX490" s="85"/>
      <c r="AY490" s="3"/>
      <c r="AZ490" s="3"/>
      <c r="BA490" s="3"/>
      <c r="BB490" s="3"/>
      <c r="BC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84"/>
      <c r="AX491" s="85"/>
      <c r="AY491" s="3"/>
      <c r="AZ491" s="3"/>
      <c r="BA491" s="3"/>
      <c r="BB491" s="3"/>
      <c r="BC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84"/>
      <c r="AX492" s="85"/>
      <c r="AY492" s="3"/>
      <c r="AZ492" s="3"/>
      <c r="BA492" s="3"/>
      <c r="BB492" s="3"/>
      <c r="BC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84"/>
      <c r="AX493" s="85"/>
      <c r="AY493" s="3"/>
      <c r="AZ493" s="3"/>
      <c r="BA493" s="3"/>
      <c r="BB493" s="3"/>
      <c r="BC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84"/>
      <c r="AX494" s="85"/>
      <c r="AY494" s="3"/>
      <c r="AZ494" s="3"/>
      <c r="BA494" s="3"/>
      <c r="BB494" s="3"/>
      <c r="BC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84"/>
      <c r="AX495" s="85"/>
      <c r="AY495" s="3"/>
      <c r="AZ495" s="3"/>
      <c r="BA495" s="3"/>
      <c r="BB495" s="3"/>
      <c r="BC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84"/>
      <c r="AX496" s="85"/>
      <c r="AY496" s="3"/>
      <c r="AZ496" s="3"/>
      <c r="BA496" s="3"/>
      <c r="BB496" s="3"/>
      <c r="BC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84"/>
      <c r="AX497" s="85"/>
      <c r="AY497" s="3"/>
      <c r="AZ497" s="3"/>
      <c r="BA497" s="3"/>
      <c r="BB497" s="3"/>
      <c r="BC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84"/>
      <c r="AX498" s="85"/>
      <c r="AY498" s="3"/>
      <c r="AZ498" s="3"/>
      <c r="BA498" s="3"/>
      <c r="BB498" s="3"/>
      <c r="BC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84"/>
      <c r="AX499" s="85"/>
      <c r="AY499" s="3"/>
      <c r="AZ499" s="3"/>
      <c r="BA499" s="3"/>
      <c r="BB499" s="3"/>
      <c r="BC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84"/>
      <c r="AX500" s="85"/>
      <c r="AY500" s="3"/>
      <c r="AZ500" s="3"/>
      <c r="BA500" s="3"/>
      <c r="BB500" s="3"/>
      <c r="BC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84"/>
      <c r="AX501" s="85"/>
      <c r="AY501" s="3"/>
      <c r="AZ501" s="3"/>
      <c r="BA501" s="3"/>
      <c r="BB501" s="3"/>
      <c r="BC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84"/>
      <c r="AX502" s="85"/>
      <c r="AY502" s="3"/>
      <c r="AZ502" s="3"/>
      <c r="BA502" s="3"/>
      <c r="BB502" s="3"/>
      <c r="BC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84"/>
      <c r="AX503" s="85"/>
      <c r="AY503" s="3"/>
      <c r="AZ503" s="3"/>
      <c r="BA503" s="3"/>
      <c r="BB503" s="3"/>
      <c r="BC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84"/>
      <c r="AX504" s="85"/>
      <c r="AY504" s="3"/>
      <c r="AZ504" s="3"/>
      <c r="BA504" s="3"/>
      <c r="BB504" s="3"/>
      <c r="BC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84"/>
      <c r="AX505" s="85"/>
      <c r="AY505" s="3"/>
      <c r="AZ505" s="3"/>
      <c r="BA505" s="3"/>
      <c r="BB505" s="3"/>
      <c r="BC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84"/>
      <c r="AX506" s="85"/>
      <c r="AY506" s="3"/>
      <c r="AZ506" s="3"/>
      <c r="BA506" s="3"/>
      <c r="BB506" s="3"/>
      <c r="BC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84"/>
      <c r="AX507" s="85"/>
      <c r="AY507" s="3"/>
      <c r="AZ507" s="3"/>
      <c r="BA507" s="3"/>
      <c r="BB507" s="3"/>
      <c r="BC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84"/>
      <c r="AX508" s="85"/>
      <c r="AY508" s="3"/>
      <c r="AZ508" s="3"/>
      <c r="BA508" s="3"/>
      <c r="BB508" s="3"/>
      <c r="BC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84"/>
      <c r="AX509" s="85"/>
      <c r="AY509" s="3"/>
      <c r="AZ509" s="3"/>
      <c r="BA509" s="3"/>
      <c r="BB509" s="3"/>
      <c r="BC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84"/>
      <c r="AX510" s="85"/>
      <c r="AY510" s="3"/>
      <c r="AZ510" s="3"/>
      <c r="BA510" s="3"/>
      <c r="BB510" s="3"/>
      <c r="BC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84"/>
      <c r="AX511" s="85"/>
      <c r="AY511" s="3"/>
      <c r="AZ511" s="3"/>
      <c r="BA511" s="3"/>
      <c r="BB511" s="3"/>
      <c r="BC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84"/>
      <c r="AX512" s="85"/>
      <c r="AY512" s="3"/>
      <c r="AZ512" s="3"/>
      <c r="BA512" s="3"/>
      <c r="BB512" s="3"/>
      <c r="BC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84"/>
      <c r="AX513" s="85"/>
      <c r="AY513" s="3"/>
      <c r="AZ513" s="3"/>
      <c r="BA513" s="3"/>
      <c r="BB513" s="3"/>
      <c r="BC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84"/>
      <c r="AX514" s="85"/>
      <c r="AY514" s="3"/>
      <c r="AZ514" s="3"/>
      <c r="BA514" s="3"/>
      <c r="BB514" s="3"/>
      <c r="BC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84"/>
      <c r="AX515" s="85"/>
      <c r="AY515" s="3"/>
      <c r="AZ515" s="3"/>
      <c r="BA515" s="3"/>
      <c r="BB515" s="3"/>
      <c r="BC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84"/>
      <c r="AX516" s="85"/>
      <c r="AY516" s="3"/>
      <c r="AZ516" s="3"/>
      <c r="BA516" s="3"/>
      <c r="BB516" s="3"/>
      <c r="BC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84"/>
      <c r="AX517" s="85"/>
      <c r="AY517" s="3"/>
      <c r="AZ517" s="3"/>
      <c r="BA517" s="3"/>
      <c r="BB517" s="3"/>
      <c r="BC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84"/>
      <c r="AX518" s="85"/>
      <c r="AY518" s="3"/>
      <c r="AZ518" s="3"/>
      <c r="BA518" s="3"/>
      <c r="BB518" s="3"/>
      <c r="BC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84"/>
      <c r="AX519" s="85"/>
      <c r="AY519" s="3"/>
      <c r="AZ519" s="3"/>
      <c r="BA519" s="3"/>
      <c r="BB519" s="3"/>
      <c r="BC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84"/>
      <c r="AX520" s="85"/>
      <c r="AY520" s="3"/>
      <c r="AZ520" s="3"/>
      <c r="BA520" s="3"/>
      <c r="BB520" s="3"/>
      <c r="BC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84"/>
      <c r="AX521" s="85"/>
      <c r="AY521" s="3"/>
      <c r="AZ521" s="3"/>
      <c r="BA521" s="3"/>
      <c r="BB521" s="3"/>
      <c r="BC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84"/>
      <c r="AX522" s="85"/>
      <c r="AY522" s="3"/>
      <c r="AZ522" s="3"/>
      <c r="BA522" s="3"/>
      <c r="BB522" s="3"/>
      <c r="BC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84"/>
      <c r="AX523" s="85"/>
      <c r="AY523" s="3"/>
      <c r="AZ523" s="3"/>
      <c r="BA523" s="3"/>
      <c r="BB523" s="3"/>
      <c r="BC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84"/>
      <c r="AX524" s="85"/>
      <c r="AY524" s="3"/>
      <c r="AZ524" s="3"/>
      <c r="BA524" s="3"/>
      <c r="BB524" s="3"/>
      <c r="BC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84"/>
      <c r="AX525" s="85"/>
      <c r="AY525" s="3"/>
      <c r="AZ525" s="3"/>
      <c r="BA525" s="3"/>
      <c r="BB525" s="3"/>
      <c r="BC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84"/>
      <c r="AX526" s="85"/>
      <c r="AY526" s="3"/>
      <c r="AZ526" s="3"/>
      <c r="BA526" s="3"/>
      <c r="BB526" s="3"/>
      <c r="BC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84"/>
      <c r="AX527" s="85"/>
      <c r="AY527" s="3"/>
      <c r="AZ527" s="3"/>
      <c r="BA527" s="3"/>
      <c r="BB527" s="3"/>
      <c r="BC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84"/>
      <c r="AX528" s="85"/>
      <c r="AY528" s="3"/>
      <c r="AZ528" s="3"/>
      <c r="BA528" s="3"/>
      <c r="BB528" s="3"/>
      <c r="BC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84"/>
      <c r="AX529" s="85"/>
      <c r="AY529" s="3"/>
      <c r="AZ529" s="3"/>
      <c r="BA529" s="3"/>
      <c r="BB529" s="3"/>
      <c r="BC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84"/>
      <c r="AX530" s="85"/>
      <c r="AY530" s="3"/>
      <c r="AZ530" s="3"/>
      <c r="BA530" s="3"/>
      <c r="BB530" s="3"/>
      <c r="BC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84"/>
      <c r="AX531" s="85"/>
      <c r="AY531" s="3"/>
      <c r="AZ531" s="3"/>
      <c r="BA531" s="3"/>
      <c r="BB531" s="3"/>
      <c r="BC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84"/>
      <c r="AX532" s="85"/>
      <c r="AY532" s="3"/>
      <c r="AZ532" s="3"/>
      <c r="BA532" s="3"/>
      <c r="BB532" s="3"/>
      <c r="BC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84"/>
      <c r="AX533" s="85"/>
      <c r="AY533" s="3"/>
      <c r="AZ533" s="3"/>
      <c r="BA533" s="3"/>
      <c r="BB533" s="3"/>
      <c r="BC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84"/>
      <c r="AX534" s="85"/>
      <c r="AY534" s="3"/>
      <c r="AZ534" s="3"/>
      <c r="BA534" s="3"/>
      <c r="BB534" s="3"/>
      <c r="BC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84"/>
      <c r="AX535" s="85"/>
      <c r="AY535" s="3"/>
      <c r="AZ535" s="3"/>
      <c r="BA535" s="3"/>
      <c r="BB535" s="3"/>
      <c r="BC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84"/>
      <c r="AX536" s="85"/>
      <c r="AY536" s="3"/>
      <c r="AZ536" s="3"/>
      <c r="BA536" s="3"/>
      <c r="BB536" s="3"/>
      <c r="BC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84"/>
      <c r="AX537" s="85"/>
      <c r="AY537" s="3"/>
      <c r="AZ537" s="3"/>
      <c r="BA537" s="3"/>
      <c r="BB537" s="3"/>
      <c r="BC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84"/>
      <c r="AX538" s="85"/>
      <c r="AY538" s="3"/>
      <c r="AZ538" s="3"/>
      <c r="BA538" s="3"/>
      <c r="BB538" s="3"/>
      <c r="BC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84"/>
      <c r="AX539" s="85"/>
      <c r="AY539" s="3"/>
      <c r="AZ539" s="3"/>
      <c r="BA539" s="3"/>
      <c r="BB539" s="3"/>
      <c r="BC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84"/>
      <c r="AX540" s="85"/>
      <c r="AY540" s="3"/>
      <c r="AZ540" s="3"/>
      <c r="BA540" s="3"/>
      <c r="BB540" s="3"/>
      <c r="BC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84"/>
      <c r="AX541" s="85"/>
      <c r="AY541" s="3"/>
      <c r="AZ541" s="3"/>
      <c r="BA541" s="3"/>
      <c r="BB541" s="3"/>
      <c r="BC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84"/>
      <c r="AX542" s="85"/>
      <c r="AY542" s="3"/>
      <c r="AZ542" s="3"/>
      <c r="BA542" s="3"/>
      <c r="BB542" s="3"/>
      <c r="BC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84"/>
      <c r="AX543" s="85"/>
      <c r="AY543" s="3"/>
      <c r="AZ543" s="3"/>
      <c r="BA543" s="3"/>
      <c r="BB543" s="3"/>
      <c r="BC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84"/>
      <c r="AX544" s="85"/>
      <c r="AY544" s="3"/>
      <c r="AZ544" s="3"/>
      <c r="BA544" s="3"/>
      <c r="BB544" s="3"/>
      <c r="BC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84"/>
      <c r="AX545" s="85"/>
      <c r="AY545" s="3"/>
      <c r="AZ545" s="3"/>
      <c r="BA545" s="3"/>
      <c r="BB545" s="3"/>
      <c r="BC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84"/>
      <c r="AX546" s="85"/>
      <c r="AY546" s="3"/>
      <c r="AZ546" s="3"/>
      <c r="BA546" s="3"/>
      <c r="BB546" s="3"/>
      <c r="BC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84"/>
      <c r="AX547" s="85"/>
      <c r="AY547" s="3"/>
      <c r="AZ547" s="3"/>
      <c r="BA547" s="3"/>
      <c r="BB547" s="3"/>
      <c r="BC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84"/>
      <c r="AX548" s="85"/>
      <c r="AY548" s="3"/>
      <c r="AZ548" s="3"/>
      <c r="BA548" s="3"/>
      <c r="BB548" s="3"/>
      <c r="BC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84"/>
      <c r="AX549" s="85"/>
      <c r="AY549" s="3"/>
      <c r="AZ549" s="3"/>
      <c r="BA549" s="3"/>
      <c r="BB549" s="3"/>
      <c r="BC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84"/>
      <c r="AX550" s="85"/>
      <c r="AY550" s="3"/>
      <c r="AZ550" s="3"/>
      <c r="BA550" s="3"/>
      <c r="BB550" s="3"/>
      <c r="BC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84"/>
      <c r="AX551" s="85"/>
      <c r="AY551" s="3"/>
      <c r="AZ551" s="3"/>
      <c r="BA551" s="3"/>
      <c r="BB551" s="3"/>
      <c r="BC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84"/>
      <c r="AX552" s="85"/>
      <c r="AY552" s="3"/>
      <c r="AZ552" s="3"/>
      <c r="BA552" s="3"/>
      <c r="BB552" s="3"/>
      <c r="BC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84"/>
      <c r="AX553" s="85"/>
      <c r="AY553" s="3"/>
      <c r="AZ553" s="3"/>
      <c r="BA553" s="3"/>
      <c r="BB553" s="3"/>
      <c r="BC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84"/>
      <c r="AX554" s="85"/>
      <c r="AY554" s="3"/>
      <c r="AZ554" s="3"/>
      <c r="BA554" s="3"/>
      <c r="BB554" s="3"/>
      <c r="BC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84"/>
      <c r="AX555" s="85"/>
      <c r="AY555" s="3"/>
      <c r="AZ555" s="3"/>
      <c r="BA555" s="3"/>
      <c r="BB555" s="3"/>
      <c r="BC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84"/>
      <c r="AX556" s="85"/>
      <c r="AY556" s="3"/>
      <c r="AZ556" s="3"/>
      <c r="BA556" s="3"/>
      <c r="BB556" s="3"/>
      <c r="BC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84"/>
      <c r="AX557" s="85"/>
      <c r="AY557" s="3"/>
      <c r="AZ557" s="3"/>
      <c r="BA557" s="3"/>
      <c r="BB557" s="3"/>
      <c r="BC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84"/>
      <c r="AX558" s="85"/>
      <c r="AY558" s="3"/>
      <c r="AZ558" s="3"/>
      <c r="BA558" s="3"/>
      <c r="BB558" s="3"/>
      <c r="BC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84"/>
      <c r="AX559" s="85"/>
      <c r="AY559" s="3"/>
      <c r="AZ559" s="3"/>
      <c r="BA559" s="3"/>
      <c r="BB559" s="3"/>
      <c r="BC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84"/>
      <c r="AX560" s="85"/>
      <c r="AY560" s="3"/>
      <c r="AZ560" s="3"/>
      <c r="BA560" s="3"/>
      <c r="BB560" s="3"/>
      <c r="BC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84"/>
      <c r="AX561" s="85"/>
      <c r="AY561" s="3"/>
      <c r="AZ561" s="3"/>
      <c r="BA561" s="3"/>
      <c r="BB561" s="3"/>
      <c r="BC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84"/>
      <c r="AX562" s="85"/>
      <c r="AY562" s="3"/>
      <c r="AZ562" s="3"/>
      <c r="BA562" s="3"/>
      <c r="BB562" s="3"/>
      <c r="BC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84"/>
      <c r="AX563" s="85"/>
      <c r="AY563" s="3"/>
      <c r="AZ563" s="3"/>
      <c r="BA563" s="3"/>
      <c r="BB563" s="3"/>
      <c r="BC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84"/>
      <c r="AX564" s="85"/>
      <c r="AY564" s="3"/>
      <c r="AZ564" s="3"/>
      <c r="BA564" s="3"/>
      <c r="BB564" s="3"/>
      <c r="BC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84"/>
      <c r="AX565" s="85"/>
      <c r="AY565" s="3"/>
      <c r="AZ565" s="3"/>
      <c r="BA565" s="3"/>
      <c r="BB565" s="3"/>
      <c r="BC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84"/>
      <c r="AX566" s="85"/>
      <c r="AY566" s="3"/>
      <c r="AZ566" s="3"/>
      <c r="BA566" s="3"/>
      <c r="BB566" s="3"/>
      <c r="BC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84"/>
      <c r="AX567" s="85"/>
      <c r="AY567" s="3"/>
      <c r="AZ567" s="3"/>
      <c r="BA567" s="3"/>
      <c r="BB567" s="3"/>
      <c r="BC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84"/>
      <c r="AX568" s="85"/>
      <c r="AY568" s="3"/>
      <c r="AZ568" s="3"/>
      <c r="BA568" s="3"/>
      <c r="BB568" s="3"/>
      <c r="BC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84"/>
      <c r="AX569" s="85"/>
      <c r="AY569" s="3"/>
      <c r="AZ569" s="3"/>
      <c r="BA569" s="3"/>
      <c r="BB569" s="3"/>
      <c r="BC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84"/>
      <c r="AX570" s="85"/>
      <c r="AY570" s="3"/>
      <c r="AZ570" s="3"/>
      <c r="BA570" s="3"/>
      <c r="BB570" s="3"/>
      <c r="BC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84"/>
      <c r="AX571" s="85"/>
      <c r="AY571" s="3"/>
      <c r="AZ571" s="3"/>
      <c r="BA571" s="3"/>
      <c r="BB571" s="3"/>
      <c r="BC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84"/>
      <c r="AX572" s="85"/>
      <c r="AY572" s="3"/>
      <c r="AZ572" s="3"/>
      <c r="BA572" s="3"/>
      <c r="BB572" s="3"/>
      <c r="BC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84"/>
      <c r="AX573" s="85"/>
      <c r="AY573" s="3"/>
      <c r="AZ573" s="3"/>
      <c r="BA573" s="3"/>
      <c r="BB573" s="3"/>
      <c r="BC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84"/>
      <c r="AX574" s="85"/>
      <c r="AY574" s="3"/>
      <c r="AZ574" s="3"/>
      <c r="BA574" s="3"/>
      <c r="BB574" s="3"/>
      <c r="BC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84"/>
      <c r="AX575" s="85"/>
      <c r="AY575" s="3"/>
      <c r="AZ575" s="3"/>
      <c r="BA575" s="3"/>
      <c r="BB575" s="3"/>
      <c r="BC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84"/>
      <c r="AX576" s="85"/>
      <c r="AY576" s="3"/>
      <c r="AZ576" s="3"/>
      <c r="BA576" s="3"/>
      <c r="BB576" s="3"/>
      <c r="BC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84"/>
      <c r="AX577" s="85"/>
      <c r="AY577" s="3"/>
      <c r="AZ577" s="3"/>
      <c r="BA577" s="3"/>
      <c r="BB577" s="3"/>
      <c r="BC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84"/>
      <c r="AX578" s="85"/>
      <c r="AY578" s="3"/>
      <c r="AZ578" s="3"/>
      <c r="BA578" s="3"/>
      <c r="BB578" s="3"/>
      <c r="BC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84"/>
      <c r="AX579" s="85"/>
      <c r="AY579" s="3"/>
      <c r="AZ579" s="3"/>
      <c r="BA579" s="3"/>
      <c r="BB579" s="3"/>
      <c r="BC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84"/>
      <c r="AX580" s="85"/>
      <c r="AY580" s="3"/>
      <c r="AZ580" s="3"/>
      <c r="BA580" s="3"/>
      <c r="BB580" s="3"/>
      <c r="BC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84"/>
      <c r="AX581" s="85"/>
      <c r="AY581" s="3"/>
      <c r="AZ581" s="3"/>
      <c r="BA581" s="3"/>
      <c r="BB581" s="3"/>
      <c r="BC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84"/>
      <c r="AX582" s="85"/>
      <c r="AY582" s="3"/>
      <c r="AZ582" s="3"/>
      <c r="BA582" s="3"/>
      <c r="BB582" s="3"/>
      <c r="BC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84"/>
      <c r="AX583" s="85"/>
      <c r="AY583" s="3"/>
      <c r="AZ583" s="3"/>
      <c r="BA583" s="3"/>
      <c r="BB583" s="3"/>
      <c r="BC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84"/>
      <c r="AX584" s="85"/>
      <c r="AY584" s="3"/>
      <c r="AZ584" s="3"/>
      <c r="BA584" s="3"/>
      <c r="BB584" s="3"/>
      <c r="BC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84"/>
      <c r="AX585" s="85"/>
      <c r="AY585" s="3"/>
      <c r="AZ585" s="3"/>
      <c r="BA585" s="3"/>
      <c r="BB585" s="3"/>
      <c r="BC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84"/>
      <c r="AX586" s="85"/>
      <c r="AY586" s="3"/>
      <c r="AZ586" s="3"/>
      <c r="BA586" s="3"/>
      <c r="BB586" s="3"/>
      <c r="BC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84"/>
      <c r="AX587" s="85"/>
      <c r="AY587" s="3"/>
      <c r="AZ587" s="3"/>
      <c r="BA587" s="3"/>
      <c r="BB587" s="3"/>
      <c r="BC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84"/>
      <c r="AX588" s="85"/>
      <c r="AY588" s="3"/>
      <c r="AZ588" s="3"/>
      <c r="BA588" s="3"/>
      <c r="BB588" s="3"/>
      <c r="BC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84"/>
      <c r="AX589" s="85"/>
      <c r="AY589" s="3"/>
      <c r="AZ589" s="3"/>
      <c r="BA589" s="3"/>
      <c r="BB589" s="3"/>
      <c r="BC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84"/>
      <c r="AX590" s="85"/>
      <c r="AY590" s="3"/>
      <c r="AZ590" s="3"/>
      <c r="BA590" s="3"/>
      <c r="BB590" s="3"/>
      <c r="BC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84"/>
      <c r="AX591" s="85"/>
      <c r="AY591" s="3"/>
      <c r="AZ591" s="3"/>
      <c r="BA591" s="3"/>
      <c r="BB591" s="3"/>
      <c r="BC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84"/>
      <c r="AX592" s="85"/>
      <c r="AY592" s="3"/>
      <c r="AZ592" s="3"/>
      <c r="BA592" s="3"/>
      <c r="BB592" s="3"/>
      <c r="BC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84"/>
      <c r="AX593" s="85"/>
      <c r="AY593" s="3"/>
      <c r="AZ593" s="3"/>
      <c r="BA593" s="3"/>
      <c r="BB593" s="3"/>
      <c r="BC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84"/>
      <c r="AX594" s="85"/>
      <c r="AY594" s="3"/>
      <c r="AZ594" s="3"/>
      <c r="BA594" s="3"/>
      <c r="BB594" s="3"/>
      <c r="BC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84"/>
      <c r="AX595" s="85"/>
      <c r="AY595" s="3"/>
      <c r="AZ595" s="3"/>
      <c r="BA595" s="3"/>
      <c r="BB595" s="3"/>
      <c r="BC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84"/>
      <c r="AX596" s="85"/>
      <c r="AY596" s="3"/>
      <c r="AZ596" s="3"/>
      <c r="BA596" s="3"/>
      <c r="BB596" s="3"/>
      <c r="BC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84"/>
      <c r="AX597" s="85"/>
      <c r="AY597" s="3"/>
      <c r="AZ597" s="3"/>
      <c r="BA597" s="3"/>
      <c r="BB597" s="3"/>
      <c r="BC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84"/>
      <c r="AX598" s="85"/>
      <c r="AY598" s="3"/>
      <c r="AZ598" s="3"/>
      <c r="BA598" s="3"/>
      <c r="BB598" s="3"/>
      <c r="BC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84"/>
      <c r="AX599" s="85"/>
      <c r="AY599" s="3"/>
      <c r="AZ599" s="3"/>
      <c r="BA599" s="3"/>
      <c r="BB599" s="3"/>
      <c r="BC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84"/>
      <c r="AX600" s="85"/>
      <c r="AY600" s="3"/>
      <c r="AZ600" s="3"/>
      <c r="BA600" s="3"/>
      <c r="BB600" s="3"/>
      <c r="BC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84"/>
      <c r="AX601" s="85"/>
      <c r="AY601" s="3"/>
      <c r="AZ601" s="3"/>
      <c r="BA601" s="3"/>
      <c r="BB601" s="3"/>
      <c r="BC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84"/>
      <c r="AX602" s="85"/>
      <c r="AY602" s="3"/>
      <c r="AZ602" s="3"/>
      <c r="BA602" s="3"/>
      <c r="BB602" s="3"/>
      <c r="BC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84"/>
      <c r="AX603" s="85"/>
      <c r="AY603" s="3"/>
      <c r="AZ603" s="3"/>
      <c r="BA603" s="3"/>
      <c r="BB603" s="3"/>
      <c r="BC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84"/>
      <c r="AX604" s="85"/>
      <c r="AY604" s="3"/>
      <c r="AZ604" s="3"/>
      <c r="BA604" s="3"/>
      <c r="BB604" s="3"/>
      <c r="BC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84"/>
      <c r="AX605" s="85"/>
      <c r="AY605" s="3"/>
      <c r="AZ605" s="3"/>
      <c r="BA605" s="3"/>
      <c r="BB605" s="3"/>
      <c r="BC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84"/>
      <c r="AX606" s="85"/>
      <c r="AY606" s="3"/>
      <c r="AZ606" s="3"/>
      <c r="BA606" s="3"/>
      <c r="BB606" s="3"/>
      <c r="BC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84"/>
      <c r="AX607" s="85"/>
      <c r="AY607" s="3"/>
      <c r="AZ607" s="3"/>
      <c r="BA607" s="3"/>
      <c r="BB607" s="3"/>
      <c r="BC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84"/>
      <c r="AX608" s="85"/>
      <c r="AY608" s="3"/>
      <c r="AZ608" s="3"/>
      <c r="BA608" s="3"/>
      <c r="BB608" s="3"/>
      <c r="BC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84"/>
      <c r="AX609" s="85"/>
      <c r="AY609" s="3"/>
      <c r="AZ609" s="3"/>
      <c r="BA609" s="3"/>
      <c r="BB609" s="3"/>
      <c r="BC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84"/>
      <c r="AX610" s="85"/>
      <c r="AY610" s="3"/>
      <c r="AZ610" s="3"/>
      <c r="BA610" s="3"/>
      <c r="BB610" s="3"/>
      <c r="BC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84"/>
      <c r="AX611" s="85"/>
      <c r="AY611" s="3"/>
      <c r="AZ611" s="3"/>
      <c r="BA611" s="3"/>
      <c r="BB611" s="3"/>
      <c r="BC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84"/>
      <c r="AX612" s="85"/>
      <c r="AY612" s="3"/>
      <c r="AZ612" s="3"/>
      <c r="BA612" s="3"/>
      <c r="BB612" s="3"/>
      <c r="BC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84"/>
      <c r="AX613" s="85"/>
      <c r="AY613" s="3"/>
      <c r="AZ613" s="3"/>
      <c r="BA613" s="3"/>
      <c r="BB613" s="3"/>
      <c r="BC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84"/>
      <c r="AX614" s="85"/>
      <c r="AY614" s="3"/>
      <c r="AZ614" s="3"/>
      <c r="BA614" s="3"/>
      <c r="BB614" s="3"/>
      <c r="BC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84"/>
      <c r="AX615" s="85"/>
      <c r="AY615" s="3"/>
      <c r="AZ615" s="3"/>
      <c r="BA615" s="3"/>
      <c r="BB615" s="3"/>
      <c r="BC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84"/>
      <c r="AX616" s="85"/>
      <c r="AY616" s="3"/>
      <c r="AZ616" s="3"/>
      <c r="BA616" s="3"/>
      <c r="BB616" s="3"/>
      <c r="BC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84"/>
      <c r="AX617" s="85"/>
      <c r="AY617" s="3"/>
      <c r="AZ617" s="3"/>
      <c r="BA617" s="3"/>
      <c r="BB617" s="3"/>
      <c r="BC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84"/>
      <c r="AX618" s="85"/>
      <c r="AY618" s="3"/>
      <c r="AZ618" s="3"/>
      <c r="BA618" s="3"/>
      <c r="BB618" s="3"/>
      <c r="BC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84"/>
      <c r="AX619" s="85"/>
      <c r="AY619" s="3"/>
      <c r="AZ619" s="3"/>
      <c r="BA619" s="3"/>
      <c r="BB619" s="3"/>
      <c r="BC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84"/>
      <c r="AX620" s="85"/>
      <c r="AY620" s="3"/>
      <c r="AZ620" s="3"/>
      <c r="BA620" s="3"/>
      <c r="BB620" s="3"/>
      <c r="BC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84"/>
      <c r="AX621" s="85"/>
      <c r="AY621" s="3"/>
      <c r="AZ621" s="3"/>
      <c r="BA621" s="3"/>
      <c r="BB621" s="3"/>
      <c r="BC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84"/>
      <c r="AX622" s="85"/>
      <c r="AY622" s="3"/>
      <c r="AZ622" s="3"/>
      <c r="BA622" s="3"/>
      <c r="BB622" s="3"/>
      <c r="BC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84"/>
      <c r="AX623" s="85"/>
      <c r="AY623" s="3"/>
      <c r="AZ623" s="3"/>
      <c r="BA623" s="3"/>
      <c r="BB623" s="3"/>
      <c r="BC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84"/>
      <c r="AX624" s="85"/>
      <c r="AY624" s="3"/>
      <c r="AZ624" s="3"/>
      <c r="BA624" s="3"/>
      <c r="BB624" s="3"/>
      <c r="BC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84"/>
      <c r="AX625" s="85"/>
      <c r="AY625" s="3"/>
      <c r="AZ625" s="3"/>
      <c r="BA625" s="3"/>
      <c r="BB625" s="3"/>
      <c r="BC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84"/>
      <c r="AX626" s="85"/>
      <c r="AY626" s="3"/>
      <c r="AZ626" s="3"/>
      <c r="BA626" s="3"/>
      <c r="BB626" s="3"/>
      <c r="BC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84"/>
      <c r="AX627" s="85"/>
      <c r="AY627" s="3"/>
      <c r="AZ627" s="3"/>
      <c r="BA627" s="3"/>
      <c r="BB627" s="3"/>
      <c r="BC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84"/>
      <c r="AX628" s="85"/>
      <c r="AY628" s="3"/>
      <c r="AZ628" s="3"/>
      <c r="BA628" s="3"/>
      <c r="BB628" s="3"/>
      <c r="BC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84"/>
      <c r="AX629" s="85"/>
      <c r="AY629" s="3"/>
      <c r="AZ629" s="3"/>
      <c r="BA629" s="3"/>
      <c r="BB629" s="3"/>
      <c r="BC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84"/>
      <c r="AX630" s="85"/>
      <c r="AY630" s="3"/>
      <c r="AZ630" s="3"/>
      <c r="BA630" s="3"/>
      <c r="BB630" s="3"/>
      <c r="BC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84"/>
      <c r="AX631" s="85"/>
      <c r="AY631" s="3"/>
      <c r="AZ631" s="3"/>
      <c r="BA631" s="3"/>
      <c r="BB631" s="3"/>
      <c r="BC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84"/>
      <c r="AX632" s="85"/>
      <c r="AY632" s="3"/>
      <c r="AZ632" s="3"/>
      <c r="BA632" s="3"/>
      <c r="BB632" s="3"/>
      <c r="BC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84"/>
      <c r="AX633" s="85"/>
      <c r="AY633" s="3"/>
      <c r="AZ633" s="3"/>
      <c r="BA633" s="3"/>
      <c r="BB633" s="3"/>
      <c r="BC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84"/>
      <c r="AX634" s="85"/>
      <c r="AY634" s="3"/>
      <c r="AZ634" s="3"/>
      <c r="BA634" s="3"/>
      <c r="BB634" s="3"/>
      <c r="BC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84"/>
      <c r="AX635" s="85"/>
      <c r="AY635" s="3"/>
      <c r="AZ635" s="3"/>
      <c r="BA635" s="3"/>
      <c r="BB635" s="3"/>
      <c r="BC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84"/>
      <c r="AX636" s="85"/>
      <c r="AY636" s="3"/>
      <c r="AZ636" s="3"/>
      <c r="BA636" s="3"/>
      <c r="BB636" s="3"/>
      <c r="BC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84"/>
      <c r="AX637" s="85"/>
      <c r="AY637" s="3"/>
      <c r="AZ637" s="3"/>
      <c r="BA637" s="3"/>
      <c r="BB637" s="3"/>
      <c r="BC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84"/>
      <c r="AX638" s="85"/>
      <c r="AY638" s="3"/>
      <c r="AZ638" s="3"/>
      <c r="BA638" s="3"/>
      <c r="BB638" s="3"/>
      <c r="BC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84"/>
      <c r="AX639" s="85"/>
      <c r="AY639" s="3"/>
      <c r="AZ639" s="3"/>
      <c r="BA639" s="3"/>
      <c r="BB639" s="3"/>
      <c r="BC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84"/>
      <c r="AX640" s="85"/>
      <c r="AY640" s="3"/>
      <c r="AZ640" s="3"/>
      <c r="BA640" s="3"/>
      <c r="BB640" s="3"/>
      <c r="BC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84"/>
      <c r="AX641" s="85"/>
      <c r="AY641" s="3"/>
      <c r="AZ641" s="3"/>
      <c r="BA641" s="3"/>
      <c r="BB641" s="3"/>
      <c r="BC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84"/>
      <c r="AX642" s="85"/>
      <c r="AY642" s="3"/>
      <c r="AZ642" s="3"/>
      <c r="BA642" s="3"/>
      <c r="BB642" s="3"/>
      <c r="BC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84"/>
      <c r="AX643" s="85"/>
      <c r="AY643" s="3"/>
      <c r="AZ643" s="3"/>
      <c r="BA643" s="3"/>
      <c r="BB643" s="3"/>
      <c r="BC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84"/>
      <c r="AX644" s="85"/>
      <c r="AY644" s="3"/>
      <c r="AZ644" s="3"/>
      <c r="BA644" s="3"/>
      <c r="BB644" s="3"/>
      <c r="BC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84"/>
      <c r="AX645" s="85"/>
      <c r="AY645" s="3"/>
      <c r="AZ645" s="3"/>
      <c r="BA645" s="3"/>
      <c r="BB645" s="3"/>
      <c r="BC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84"/>
      <c r="AX646" s="85"/>
      <c r="AY646" s="3"/>
      <c r="AZ646" s="3"/>
      <c r="BA646" s="3"/>
      <c r="BB646" s="3"/>
      <c r="BC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84"/>
      <c r="AX647" s="85"/>
      <c r="AY647" s="3"/>
      <c r="AZ647" s="3"/>
      <c r="BA647" s="3"/>
      <c r="BB647" s="3"/>
      <c r="BC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84"/>
      <c r="AX648" s="85"/>
      <c r="AY648" s="3"/>
      <c r="AZ648" s="3"/>
      <c r="BA648" s="3"/>
      <c r="BB648" s="3"/>
      <c r="BC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84"/>
      <c r="AX649" s="85"/>
      <c r="AY649" s="3"/>
      <c r="AZ649" s="3"/>
      <c r="BA649" s="3"/>
      <c r="BB649" s="3"/>
      <c r="BC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84"/>
      <c r="AX650" s="85"/>
      <c r="AY650" s="3"/>
      <c r="AZ650" s="3"/>
      <c r="BA650" s="3"/>
      <c r="BB650" s="3"/>
      <c r="BC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84"/>
      <c r="AX651" s="85"/>
      <c r="AY651" s="3"/>
      <c r="AZ651" s="3"/>
      <c r="BA651" s="3"/>
      <c r="BB651" s="3"/>
      <c r="BC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84"/>
      <c r="AX652" s="85"/>
      <c r="AY652" s="3"/>
      <c r="AZ652" s="3"/>
      <c r="BA652" s="3"/>
      <c r="BB652" s="3"/>
      <c r="BC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84"/>
      <c r="AX653" s="85"/>
      <c r="AY653" s="3"/>
      <c r="AZ653" s="3"/>
      <c r="BA653" s="3"/>
      <c r="BB653" s="3"/>
      <c r="BC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84"/>
      <c r="AX654" s="85"/>
      <c r="AY654" s="3"/>
      <c r="AZ654" s="3"/>
      <c r="BA654" s="3"/>
      <c r="BB654" s="3"/>
      <c r="BC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84"/>
      <c r="AX655" s="85"/>
      <c r="AY655" s="3"/>
      <c r="AZ655" s="3"/>
      <c r="BA655" s="3"/>
      <c r="BB655" s="3"/>
      <c r="BC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84"/>
      <c r="AX656" s="85"/>
      <c r="AY656" s="3"/>
      <c r="AZ656" s="3"/>
      <c r="BA656" s="3"/>
      <c r="BB656" s="3"/>
      <c r="BC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84"/>
      <c r="AX657" s="85"/>
      <c r="AY657" s="3"/>
      <c r="AZ657" s="3"/>
      <c r="BA657" s="3"/>
      <c r="BB657" s="3"/>
      <c r="BC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84"/>
      <c r="AX658" s="85"/>
      <c r="AY658" s="3"/>
      <c r="AZ658" s="3"/>
      <c r="BA658" s="3"/>
      <c r="BB658" s="3"/>
      <c r="BC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84"/>
      <c r="AX659" s="85"/>
      <c r="AY659" s="3"/>
      <c r="AZ659" s="3"/>
      <c r="BA659" s="3"/>
      <c r="BB659" s="3"/>
      <c r="BC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84"/>
      <c r="AX660" s="85"/>
      <c r="AY660" s="3"/>
      <c r="AZ660" s="3"/>
      <c r="BA660" s="3"/>
      <c r="BB660" s="3"/>
      <c r="BC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84"/>
      <c r="AX661" s="85"/>
      <c r="AY661" s="3"/>
      <c r="AZ661" s="3"/>
      <c r="BA661" s="3"/>
      <c r="BB661" s="3"/>
      <c r="BC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84"/>
      <c r="AX662" s="85"/>
      <c r="AY662" s="3"/>
      <c r="AZ662" s="3"/>
      <c r="BA662" s="3"/>
      <c r="BB662" s="3"/>
      <c r="BC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84"/>
      <c r="AX663" s="85"/>
      <c r="AY663" s="3"/>
      <c r="AZ663" s="3"/>
      <c r="BA663" s="3"/>
      <c r="BB663" s="3"/>
      <c r="BC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84"/>
      <c r="AX664" s="85"/>
      <c r="AY664" s="3"/>
      <c r="AZ664" s="3"/>
      <c r="BA664" s="3"/>
      <c r="BB664" s="3"/>
      <c r="BC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84"/>
      <c r="AX665" s="85"/>
      <c r="AY665" s="3"/>
      <c r="AZ665" s="3"/>
      <c r="BA665" s="3"/>
      <c r="BB665" s="3"/>
      <c r="BC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84"/>
      <c r="AX666" s="85"/>
      <c r="AY666" s="3"/>
      <c r="AZ666" s="3"/>
      <c r="BA666" s="3"/>
      <c r="BB666" s="3"/>
      <c r="BC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84"/>
      <c r="AX667" s="85"/>
      <c r="AY667" s="3"/>
      <c r="AZ667" s="3"/>
      <c r="BA667" s="3"/>
      <c r="BB667" s="3"/>
      <c r="BC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84"/>
      <c r="AX668" s="85"/>
      <c r="AY668" s="3"/>
      <c r="AZ668" s="3"/>
      <c r="BA668" s="3"/>
      <c r="BB668" s="3"/>
      <c r="BC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84"/>
      <c r="AX669" s="85"/>
      <c r="AY669" s="3"/>
      <c r="AZ669" s="3"/>
      <c r="BA669" s="3"/>
      <c r="BB669" s="3"/>
      <c r="BC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84"/>
      <c r="AX670" s="85"/>
      <c r="AY670" s="3"/>
      <c r="AZ670" s="3"/>
      <c r="BA670" s="3"/>
      <c r="BB670" s="3"/>
      <c r="BC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84"/>
      <c r="AX671" s="85"/>
      <c r="AY671" s="3"/>
      <c r="AZ671" s="3"/>
      <c r="BA671" s="3"/>
      <c r="BB671" s="3"/>
      <c r="BC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84"/>
      <c r="AX672" s="85"/>
      <c r="AY672" s="3"/>
      <c r="AZ672" s="3"/>
      <c r="BA672" s="3"/>
      <c r="BB672" s="3"/>
      <c r="BC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84"/>
      <c r="AX673" s="85"/>
      <c r="AY673" s="3"/>
      <c r="AZ673" s="3"/>
      <c r="BA673" s="3"/>
      <c r="BB673" s="3"/>
      <c r="BC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84"/>
      <c r="AX674" s="85"/>
      <c r="AY674" s="3"/>
      <c r="AZ674" s="3"/>
      <c r="BA674" s="3"/>
      <c r="BB674" s="3"/>
      <c r="BC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84"/>
      <c r="AX675" s="85"/>
      <c r="AY675" s="3"/>
      <c r="AZ675" s="3"/>
      <c r="BA675" s="3"/>
      <c r="BB675" s="3"/>
      <c r="BC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84"/>
      <c r="AX676" s="85"/>
      <c r="AY676" s="3"/>
      <c r="AZ676" s="3"/>
      <c r="BA676" s="3"/>
      <c r="BB676" s="3"/>
      <c r="BC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84"/>
      <c r="AX677" s="85"/>
      <c r="AY677" s="3"/>
      <c r="AZ677" s="3"/>
      <c r="BA677" s="3"/>
      <c r="BB677" s="3"/>
      <c r="BC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84"/>
      <c r="AX678" s="85"/>
      <c r="AY678" s="3"/>
      <c r="AZ678" s="3"/>
      <c r="BA678" s="3"/>
      <c r="BB678" s="3"/>
      <c r="BC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84"/>
      <c r="AX679" s="85"/>
      <c r="AY679" s="3"/>
      <c r="AZ679" s="3"/>
      <c r="BA679" s="3"/>
      <c r="BB679" s="3"/>
      <c r="BC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84"/>
      <c r="AX680" s="85"/>
      <c r="AY680" s="3"/>
      <c r="AZ680" s="3"/>
      <c r="BA680" s="3"/>
      <c r="BB680" s="3"/>
      <c r="BC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84"/>
      <c r="AX681" s="85"/>
      <c r="AY681" s="3"/>
      <c r="AZ681" s="3"/>
      <c r="BA681" s="3"/>
      <c r="BB681" s="3"/>
      <c r="BC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84"/>
      <c r="AX682" s="85"/>
      <c r="AY682" s="3"/>
      <c r="AZ682" s="3"/>
      <c r="BA682" s="3"/>
      <c r="BB682" s="3"/>
      <c r="BC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84"/>
      <c r="AX683" s="85"/>
      <c r="AY683" s="3"/>
      <c r="AZ683" s="3"/>
      <c r="BA683" s="3"/>
      <c r="BB683" s="3"/>
      <c r="BC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84"/>
      <c r="AX684" s="85"/>
      <c r="AY684" s="3"/>
      <c r="AZ684" s="3"/>
      <c r="BA684" s="3"/>
      <c r="BB684" s="3"/>
      <c r="BC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84"/>
      <c r="AX685" s="85"/>
      <c r="AY685" s="3"/>
      <c r="AZ685" s="3"/>
      <c r="BA685" s="3"/>
      <c r="BB685" s="3"/>
      <c r="BC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84"/>
      <c r="AX686" s="85"/>
      <c r="AY686" s="3"/>
      <c r="AZ686" s="3"/>
      <c r="BA686" s="3"/>
      <c r="BB686" s="3"/>
      <c r="BC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84"/>
      <c r="AX687" s="85"/>
      <c r="AY687" s="3"/>
      <c r="AZ687" s="3"/>
      <c r="BA687" s="3"/>
      <c r="BB687" s="3"/>
      <c r="BC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84"/>
      <c r="AX688" s="85"/>
      <c r="AY688" s="3"/>
      <c r="AZ688" s="3"/>
      <c r="BA688" s="3"/>
      <c r="BB688" s="3"/>
      <c r="BC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84"/>
      <c r="AX689" s="85"/>
      <c r="AY689" s="3"/>
      <c r="AZ689" s="3"/>
      <c r="BA689" s="3"/>
      <c r="BB689" s="3"/>
      <c r="BC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84"/>
      <c r="AX690" s="85"/>
      <c r="AY690" s="3"/>
      <c r="AZ690" s="3"/>
      <c r="BA690" s="3"/>
      <c r="BB690" s="3"/>
      <c r="BC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84"/>
      <c r="AX691" s="85"/>
      <c r="AY691" s="3"/>
      <c r="AZ691" s="3"/>
      <c r="BA691" s="3"/>
      <c r="BB691" s="3"/>
      <c r="BC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84"/>
      <c r="AX692" s="85"/>
      <c r="AY692" s="3"/>
      <c r="AZ692" s="3"/>
      <c r="BA692" s="3"/>
      <c r="BB692" s="3"/>
      <c r="BC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84"/>
      <c r="AX693" s="85"/>
      <c r="AY693" s="3"/>
      <c r="AZ693" s="3"/>
      <c r="BA693" s="3"/>
      <c r="BB693" s="3"/>
      <c r="BC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84"/>
      <c r="AX694" s="85"/>
      <c r="AY694" s="3"/>
      <c r="AZ694" s="3"/>
      <c r="BA694" s="3"/>
      <c r="BB694" s="3"/>
      <c r="BC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84"/>
      <c r="AX695" s="85"/>
      <c r="AY695" s="3"/>
      <c r="AZ695" s="3"/>
      <c r="BA695" s="3"/>
      <c r="BB695" s="3"/>
      <c r="BC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84"/>
      <c r="AX696" s="85"/>
      <c r="AY696" s="3"/>
      <c r="AZ696" s="3"/>
      <c r="BA696" s="3"/>
      <c r="BB696" s="3"/>
      <c r="BC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84"/>
      <c r="AX697" s="85"/>
      <c r="AY697" s="3"/>
      <c r="AZ697" s="3"/>
      <c r="BA697" s="3"/>
      <c r="BB697" s="3"/>
      <c r="BC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84"/>
      <c r="AX698" s="85"/>
      <c r="AY698" s="3"/>
      <c r="AZ698" s="3"/>
      <c r="BA698" s="3"/>
      <c r="BB698" s="3"/>
      <c r="BC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84"/>
      <c r="AX699" s="85"/>
      <c r="AY699" s="3"/>
      <c r="AZ699" s="3"/>
      <c r="BA699" s="3"/>
      <c r="BB699" s="3"/>
      <c r="BC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84"/>
      <c r="AX700" s="85"/>
      <c r="AY700" s="3"/>
      <c r="AZ700" s="3"/>
      <c r="BA700" s="3"/>
      <c r="BB700" s="3"/>
      <c r="BC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84"/>
      <c r="AX701" s="85"/>
      <c r="AY701" s="3"/>
      <c r="AZ701" s="3"/>
      <c r="BA701" s="3"/>
      <c r="BB701" s="3"/>
      <c r="BC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84"/>
      <c r="AX702" s="85"/>
      <c r="AY702" s="3"/>
      <c r="AZ702" s="3"/>
      <c r="BA702" s="3"/>
      <c r="BB702" s="3"/>
      <c r="BC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84"/>
      <c r="AX703" s="85"/>
      <c r="AY703" s="3"/>
      <c r="AZ703" s="3"/>
      <c r="BA703" s="3"/>
      <c r="BB703" s="3"/>
      <c r="BC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84"/>
      <c r="AX704" s="85"/>
      <c r="AY704" s="3"/>
      <c r="AZ704" s="3"/>
      <c r="BA704" s="3"/>
      <c r="BB704" s="3"/>
      <c r="BC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84"/>
      <c r="AX705" s="85"/>
      <c r="AY705" s="3"/>
      <c r="AZ705" s="3"/>
      <c r="BA705" s="3"/>
      <c r="BB705" s="3"/>
      <c r="BC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84"/>
      <c r="AX706" s="85"/>
      <c r="AY706" s="3"/>
      <c r="AZ706" s="3"/>
      <c r="BA706" s="3"/>
      <c r="BB706" s="3"/>
      <c r="BC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84"/>
      <c r="AX707" s="85"/>
      <c r="AY707" s="3"/>
      <c r="AZ707" s="3"/>
      <c r="BA707" s="3"/>
      <c r="BB707" s="3"/>
      <c r="BC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84"/>
      <c r="AX708" s="85"/>
      <c r="AY708" s="3"/>
      <c r="AZ708" s="3"/>
      <c r="BA708" s="3"/>
      <c r="BB708" s="3"/>
      <c r="BC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84"/>
      <c r="AX709" s="85"/>
      <c r="AY709" s="3"/>
      <c r="AZ709" s="3"/>
      <c r="BA709" s="3"/>
      <c r="BB709" s="3"/>
      <c r="BC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84"/>
      <c r="AX710" s="85"/>
      <c r="AY710" s="3"/>
      <c r="AZ710" s="3"/>
      <c r="BA710" s="3"/>
      <c r="BB710" s="3"/>
      <c r="BC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84"/>
      <c r="AX711" s="85"/>
      <c r="AY711" s="3"/>
      <c r="AZ711" s="3"/>
      <c r="BA711" s="3"/>
      <c r="BB711" s="3"/>
      <c r="BC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84"/>
      <c r="AX712" s="85"/>
      <c r="AY712" s="3"/>
      <c r="AZ712" s="3"/>
      <c r="BA712" s="3"/>
      <c r="BB712" s="3"/>
      <c r="BC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84"/>
      <c r="AX713" s="85"/>
      <c r="AY713" s="3"/>
      <c r="AZ713" s="3"/>
      <c r="BA713" s="3"/>
      <c r="BB713" s="3"/>
      <c r="BC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84"/>
      <c r="AX714" s="85"/>
      <c r="AY714" s="3"/>
      <c r="AZ714" s="3"/>
      <c r="BA714" s="3"/>
      <c r="BB714" s="3"/>
      <c r="BC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84"/>
      <c r="AX715" s="85"/>
      <c r="AY715" s="3"/>
      <c r="AZ715" s="3"/>
      <c r="BA715" s="3"/>
      <c r="BB715" s="3"/>
      <c r="BC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84"/>
      <c r="AX716" s="85"/>
      <c r="AY716" s="3"/>
      <c r="AZ716" s="3"/>
      <c r="BA716" s="3"/>
      <c r="BB716" s="3"/>
      <c r="BC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84"/>
      <c r="AX717" s="85"/>
      <c r="AY717" s="3"/>
      <c r="AZ717" s="3"/>
      <c r="BA717" s="3"/>
      <c r="BB717" s="3"/>
      <c r="BC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84"/>
      <c r="AX718" s="85"/>
      <c r="AY718" s="3"/>
      <c r="AZ718" s="3"/>
      <c r="BA718" s="3"/>
      <c r="BB718" s="3"/>
      <c r="BC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84"/>
      <c r="AX719" s="85"/>
      <c r="AY719" s="3"/>
      <c r="AZ719" s="3"/>
      <c r="BA719" s="3"/>
      <c r="BB719" s="3"/>
      <c r="BC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84"/>
      <c r="AX720" s="85"/>
      <c r="AY720" s="3"/>
      <c r="AZ720" s="3"/>
      <c r="BA720" s="3"/>
      <c r="BB720" s="3"/>
      <c r="BC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84"/>
      <c r="AX721" s="85"/>
      <c r="AY721" s="3"/>
      <c r="AZ721" s="3"/>
      <c r="BA721" s="3"/>
      <c r="BB721" s="3"/>
      <c r="BC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84"/>
      <c r="AX722" s="85"/>
      <c r="AY722" s="3"/>
      <c r="AZ722" s="3"/>
      <c r="BA722" s="3"/>
      <c r="BB722" s="3"/>
      <c r="BC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84"/>
      <c r="AX723" s="85"/>
      <c r="AY723" s="3"/>
      <c r="AZ723" s="3"/>
      <c r="BA723" s="3"/>
      <c r="BB723" s="3"/>
      <c r="BC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84"/>
      <c r="AX724" s="85"/>
      <c r="AY724" s="3"/>
      <c r="AZ724" s="3"/>
      <c r="BA724" s="3"/>
      <c r="BB724" s="3"/>
      <c r="BC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84"/>
      <c r="AX725" s="85"/>
      <c r="AY725" s="3"/>
      <c r="AZ725" s="3"/>
      <c r="BA725" s="3"/>
      <c r="BB725" s="3"/>
      <c r="BC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84"/>
      <c r="AX726" s="85"/>
      <c r="AY726" s="3"/>
      <c r="AZ726" s="3"/>
      <c r="BA726" s="3"/>
      <c r="BB726" s="3"/>
      <c r="BC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84"/>
      <c r="AX727" s="85"/>
      <c r="AY727" s="3"/>
      <c r="AZ727" s="3"/>
      <c r="BA727" s="3"/>
      <c r="BB727" s="3"/>
      <c r="BC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84"/>
      <c r="AX728" s="85"/>
      <c r="AY728" s="3"/>
      <c r="AZ728" s="3"/>
      <c r="BA728" s="3"/>
      <c r="BB728" s="3"/>
      <c r="BC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84"/>
      <c r="AX729" s="85"/>
      <c r="AY729" s="3"/>
      <c r="AZ729" s="3"/>
      <c r="BA729" s="3"/>
      <c r="BB729" s="3"/>
      <c r="BC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84"/>
      <c r="AX730" s="85"/>
      <c r="AY730" s="3"/>
      <c r="AZ730" s="3"/>
      <c r="BA730" s="3"/>
      <c r="BB730" s="3"/>
      <c r="BC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84"/>
      <c r="AX731" s="85"/>
      <c r="AY731" s="3"/>
      <c r="AZ731" s="3"/>
      <c r="BA731" s="3"/>
      <c r="BB731" s="3"/>
      <c r="BC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84"/>
      <c r="AX732" s="85"/>
      <c r="AY732" s="3"/>
      <c r="AZ732" s="3"/>
      <c r="BA732" s="3"/>
      <c r="BB732" s="3"/>
      <c r="BC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84"/>
      <c r="AX733" s="85"/>
      <c r="AY733" s="3"/>
      <c r="AZ733" s="3"/>
      <c r="BA733" s="3"/>
      <c r="BB733" s="3"/>
      <c r="BC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84"/>
      <c r="AX734" s="85"/>
      <c r="AY734" s="3"/>
      <c r="AZ734" s="3"/>
      <c r="BA734" s="3"/>
      <c r="BB734" s="3"/>
      <c r="BC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84"/>
      <c r="AX735" s="85"/>
      <c r="AY735" s="3"/>
      <c r="AZ735" s="3"/>
      <c r="BA735" s="3"/>
      <c r="BB735" s="3"/>
      <c r="BC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84"/>
      <c r="AX736" s="85"/>
      <c r="AY736" s="3"/>
      <c r="AZ736" s="3"/>
      <c r="BA736" s="3"/>
      <c r="BB736" s="3"/>
      <c r="BC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84"/>
      <c r="AX737" s="85"/>
      <c r="AY737" s="3"/>
      <c r="AZ737" s="3"/>
      <c r="BA737" s="3"/>
      <c r="BB737" s="3"/>
      <c r="BC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84"/>
      <c r="AX738" s="85"/>
      <c r="AY738" s="3"/>
      <c r="AZ738" s="3"/>
      <c r="BA738" s="3"/>
      <c r="BB738" s="3"/>
      <c r="BC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84"/>
      <c r="AX739" s="85"/>
      <c r="AY739" s="3"/>
      <c r="AZ739" s="3"/>
      <c r="BA739" s="3"/>
      <c r="BB739" s="3"/>
      <c r="BC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84"/>
      <c r="AX740" s="85"/>
      <c r="AY740" s="3"/>
      <c r="AZ740" s="3"/>
      <c r="BA740" s="3"/>
      <c r="BB740" s="3"/>
      <c r="BC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84"/>
      <c r="AX741" s="85"/>
      <c r="AY741" s="3"/>
      <c r="AZ741" s="3"/>
      <c r="BA741" s="3"/>
      <c r="BB741" s="3"/>
      <c r="BC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84"/>
      <c r="AX742" s="85"/>
      <c r="AY742" s="3"/>
      <c r="AZ742" s="3"/>
      <c r="BA742" s="3"/>
      <c r="BB742" s="3"/>
      <c r="BC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84"/>
      <c r="AX743" s="85"/>
      <c r="AY743" s="3"/>
      <c r="AZ743" s="3"/>
      <c r="BA743" s="3"/>
      <c r="BB743" s="3"/>
      <c r="BC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84"/>
      <c r="AX744" s="85"/>
      <c r="AY744" s="3"/>
      <c r="AZ744" s="3"/>
      <c r="BA744" s="3"/>
      <c r="BB744" s="3"/>
      <c r="BC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84"/>
      <c r="AX745" s="85"/>
      <c r="AY745" s="3"/>
      <c r="AZ745" s="3"/>
      <c r="BA745" s="3"/>
      <c r="BB745" s="3"/>
      <c r="BC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84"/>
      <c r="AX746" s="85"/>
      <c r="AY746" s="3"/>
      <c r="AZ746" s="3"/>
      <c r="BA746" s="3"/>
      <c r="BB746" s="3"/>
      <c r="BC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84"/>
      <c r="AX747" s="85"/>
      <c r="AY747" s="3"/>
      <c r="AZ747" s="3"/>
      <c r="BA747" s="3"/>
      <c r="BB747" s="3"/>
      <c r="BC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84"/>
      <c r="AX748" s="85"/>
      <c r="AY748" s="3"/>
      <c r="AZ748" s="3"/>
      <c r="BA748" s="3"/>
      <c r="BB748" s="3"/>
      <c r="BC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84"/>
      <c r="AX749" s="85"/>
      <c r="AY749" s="3"/>
      <c r="AZ749" s="3"/>
      <c r="BA749" s="3"/>
      <c r="BB749" s="3"/>
      <c r="BC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84"/>
      <c r="AX750" s="85"/>
      <c r="AY750" s="3"/>
      <c r="AZ750" s="3"/>
      <c r="BA750" s="3"/>
      <c r="BB750" s="3"/>
      <c r="BC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84"/>
      <c r="AX751" s="85"/>
      <c r="AY751" s="3"/>
      <c r="AZ751" s="3"/>
      <c r="BA751" s="3"/>
      <c r="BB751" s="3"/>
      <c r="BC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84"/>
      <c r="AX752" s="85"/>
      <c r="AY752" s="3"/>
      <c r="AZ752" s="3"/>
      <c r="BA752" s="3"/>
      <c r="BB752" s="3"/>
      <c r="BC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84"/>
      <c r="AX753" s="85"/>
      <c r="AY753" s="3"/>
      <c r="AZ753" s="3"/>
      <c r="BA753" s="3"/>
      <c r="BB753" s="3"/>
      <c r="BC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84"/>
      <c r="AX754" s="85"/>
      <c r="AY754" s="3"/>
      <c r="AZ754" s="3"/>
      <c r="BA754" s="3"/>
      <c r="BB754" s="3"/>
      <c r="BC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84"/>
      <c r="AX755" s="85"/>
      <c r="AY755" s="3"/>
      <c r="AZ755" s="3"/>
      <c r="BA755" s="3"/>
      <c r="BB755" s="3"/>
      <c r="BC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84"/>
      <c r="AX756" s="85"/>
      <c r="AY756" s="3"/>
      <c r="AZ756" s="3"/>
      <c r="BA756" s="3"/>
      <c r="BB756" s="3"/>
      <c r="BC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84"/>
      <c r="AX757" s="85"/>
      <c r="AY757" s="3"/>
      <c r="AZ757" s="3"/>
      <c r="BA757" s="3"/>
      <c r="BB757" s="3"/>
      <c r="BC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84"/>
      <c r="AX758" s="85"/>
      <c r="AY758" s="3"/>
      <c r="AZ758" s="3"/>
      <c r="BA758" s="3"/>
      <c r="BB758" s="3"/>
      <c r="BC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84"/>
      <c r="AX759" s="85"/>
      <c r="AY759" s="3"/>
      <c r="AZ759" s="3"/>
      <c r="BA759" s="3"/>
      <c r="BB759" s="3"/>
      <c r="BC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84"/>
      <c r="AX760" s="85"/>
      <c r="AY760" s="3"/>
      <c r="AZ760" s="3"/>
      <c r="BA760" s="3"/>
      <c r="BB760" s="3"/>
      <c r="BC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84"/>
      <c r="AX761" s="85"/>
      <c r="AY761" s="3"/>
      <c r="AZ761" s="3"/>
      <c r="BA761" s="3"/>
      <c r="BB761" s="3"/>
      <c r="BC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84"/>
      <c r="AX762" s="85"/>
      <c r="AY762" s="3"/>
      <c r="AZ762" s="3"/>
      <c r="BA762" s="3"/>
      <c r="BB762" s="3"/>
      <c r="BC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84"/>
      <c r="AX763" s="85"/>
      <c r="AY763" s="3"/>
      <c r="AZ763" s="3"/>
      <c r="BA763" s="3"/>
      <c r="BB763" s="3"/>
      <c r="BC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84"/>
      <c r="AX764" s="85"/>
      <c r="AY764" s="3"/>
      <c r="AZ764" s="3"/>
      <c r="BA764" s="3"/>
      <c r="BB764" s="3"/>
      <c r="BC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84"/>
      <c r="AX765" s="85"/>
      <c r="AY765" s="3"/>
      <c r="AZ765" s="3"/>
      <c r="BA765" s="3"/>
      <c r="BB765" s="3"/>
      <c r="BC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84"/>
      <c r="AX766" s="85"/>
      <c r="AY766" s="3"/>
      <c r="AZ766" s="3"/>
      <c r="BA766" s="3"/>
      <c r="BB766" s="3"/>
      <c r="BC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84"/>
      <c r="AX767" s="85"/>
      <c r="AY767" s="3"/>
      <c r="AZ767" s="3"/>
      <c r="BA767" s="3"/>
      <c r="BB767" s="3"/>
      <c r="BC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84"/>
      <c r="AX768" s="85"/>
      <c r="AY768" s="3"/>
      <c r="AZ768" s="3"/>
      <c r="BA768" s="3"/>
      <c r="BB768" s="3"/>
      <c r="BC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84"/>
      <c r="AX769" s="85"/>
      <c r="AY769" s="3"/>
      <c r="AZ769" s="3"/>
      <c r="BA769" s="3"/>
      <c r="BB769" s="3"/>
      <c r="BC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84"/>
      <c r="AX770" s="85"/>
      <c r="AY770" s="3"/>
      <c r="AZ770" s="3"/>
      <c r="BA770" s="3"/>
      <c r="BB770" s="3"/>
      <c r="BC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84"/>
      <c r="AX771" s="85"/>
      <c r="AY771" s="3"/>
      <c r="AZ771" s="3"/>
      <c r="BA771" s="3"/>
      <c r="BB771" s="3"/>
      <c r="BC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84"/>
      <c r="AX772" s="85"/>
      <c r="AY772" s="3"/>
      <c r="AZ772" s="3"/>
      <c r="BA772" s="3"/>
      <c r="BB772" s="3"/>
      <c r="BC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84"/>
      <c r="AX773" s="85"/>
      <c r="AY773" s="3"/>
      <c r="AZ773" s="3"/>
      <c r="BA773" s="3"/>
      <c r="BB773" s="3"/>
      <c r="BC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84"/>
      <c r="AX774" s="85"/>
      <c r="AY774" s="3"/>
      <c r="AZ774" s="3"/>
      <c r="BA774" s="3"/>
      <c r="BB774" s="3"/>
      <c r="BC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84"/>
      <c r="AX775" s="85"/>
      <c r="AY775" s="3"/>
      <c r="AZ775" s="3"/>
      <c r="BA775" s="3"/>
      <c r="BB775" s="3"/>
      <c r="BC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84"/>
      <c r="AX776" s="85"/>
      <c r="AY776" s="3"/>
      <c r="AZ776" s="3"/>
      <c r="BA776" s="3"/>
      <c r="BB776" s="3"/>
      <c r="BC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84"/>
      <c r="AX777" s="85"/>
      <c r="AY777" s="3"/>
      <c r="AZ777" s="3"/>
      <c r="BA777" s="3"/>
      <c r="BB777" s="3"/>
      <c r="BC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84"/>
      <c r="AX778" s="85"/>
      <c r="AY778" s="3"/>
      <c r="AZ778" s="3"/>
      <c r="BA778" s="3"/>
      <c r="BB778" s="3"/>
      <c r="BC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84"/>
      <c r="AX779" s="85"/>
      <c r="AY779" s="3"/>
      <c r="AZ779" s="3"/>
      <c r="BA779" s="3"/>
      <c r="BB779" s="3"/>
      <c r="BC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84"/>
      <c r="AX780" s="85"/>
      <c r="AY780" s="3"/>
      <c r="AZ780" s="3"/>
      <c r="BA780" s="3"/>
      <c r="BB780" s="3"/>
      <c r="BC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84"/>
      <c r="AX781" s="85"/>
      <c r="AY781" s="3"/>
      <c r="AZ781" s="3"/>
      <c r="BA781" s="3"/>
      <c r="BB781" s="3"/>
      <c r="BC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84"/>
      <c r="AX782" s="85"/>
      <c r="AY782" s="3"/>
      <c r="AZ782" s="3"/>
      <c r="BA782" s="3"/>
      <c r="BB782" s="3"/>
      <c r="BC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84"/>
      <c r="AX783" s="85"/>
      <c r="AY783" s="3"/>
      <c r="AZ783" s="3"/>
      <c r="BA783" s="3"/>
      <c r="BB783" s="3"/>
      <c r="BC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84"/>
      <c r="AX784" s="85"/>
      <c r="AY784" s="3"/>
      <c r="AZ784" s="3"/>
      <c r="BA784" s="3"/>
      <c r="BB784" s="3"/>
      <c r="BC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84"/>
      <c r="AX785" s="85"/>
      <c r="AY785" s="3"/>
      <c r="AZ785" s="3"/>
      <c r="BA785" s="3"/>
      <c r="BB785" s="3"/>
      <c r="BC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84"/>
      <c r="AX786" s="85"/>
      <c r="AY786" s="3"/>
      <c r="AZ786" s="3"/>
      <c r="BA786" s="3"/>
      <c r="BB786" s="3"/>
      <c r="BC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84"/>
      <c r="AX787" s="85"/>
      <c r="AY787" s="3"/>
      <c r="AZ787" s="3"/>
      <c r="BA787" s="3"/>
      <c r="BB787" s="3"/>
      <c r="BC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84"/>
      <c r="AX788" s="85"/>
      <c r="AY788" s="3"/>
      <c r="AZ788" s="3"/>
      <c r="BA788" s="3"/>
      <c r="BB788" s="3"/>
      <c r="BC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84"/>
      <c r="AX789" s="85"/>
      <c r="AY789" s="3"/>
      <c r="AZ789" s="3"/>
      <c r="BA789" s="3"/>
      <c r="BB789" s="3"/>
      <c r="BC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84"/>
      <c r="AX790" s="85"/>
      <c r="AY790" s="3"/>
      <c r="AZ790" s="3"/>
      <c r="BA790" s="3"/>
      <c r="BB790" s="3"/>
      <c r="BC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84"/>
      <c r="AX791" s="85"/>
      <c r="AY791" s="3"/>
      <c r="AZ791" s="3"/>
      <c r="BA791" s="3"/>
      <c r="BB791" s="3"/>
      <c r="BC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84"/>
      <c r="AX792" s="85"/>
      <c r="AY792" s="3"/>
      <c r="AZ792" s="3"/>
      <c r="BA792" s="3"/>
      <c r="BB792" s="3"/>
      <c r="BC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84"/>
      <c r="AX793" s="85"/>
      <c r="AY793" s="3"/>
      <c r="AZ793" s="3"/>
      <c r="BA793" s="3"/>
      <c r="BB793" s="3"/>
      <c r="BC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84"/>
      <c r="AX794" s="85"/>
      <c r="AY794" s="3"/>
      <c r="AZ794" s="3"/>
      <c r="BA794" s="3"/>
      <c r="BB794" s="3"/>
      <c r="BC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84"/>
      <c r="AX795" s="85"/>
      <c r="AY795" s="3"/>
      <c r="AZ795" s="3"/>
      <c r="BA795" s="3"/>
      <c r="BB795" s="3"/>
      <c r="BC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84"/>
      <c r="AX796" s="85"/>
      <c r="AY796" s="3"/>
      <c r="AZ796" s="3"/>
      <c r="BA796" s="3"/>
      <c r="BB796" s="3"/>
      <c r="BC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84"/>
      <c r="AX797" s="85"/>
      <c r="AY797" s="3"/>
      <c r="AZ797" s="3"/>
      <c r="BA797" s="3"/>
      <c r="BB797" s="3"/>
      <c r="BC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84"/>
      <c r="AX798" s="85"/>
      <c r="AY798" s="3"/>
      <c r="AZ798" s="3"/>
      <c r="BA798" s="3"/>
      <c r="BB798" s="3"/>
      <c r="BC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84"/>
      <c r="AX799" s="85"/>
      <c r="AY799" s="3"/>
      <c r="AZ799" s="3"/>
      <c r="BA799" s="3"/>
      <c r="BB799" s="3"/>
      <c r="BC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84"/>
      <c r="AX800" s="85"/>
      <c r="AY800" s="3"/>
      <c r="AZ800" s="3"/>
      <c r="BA800" s="3"/>
      <c r="BB800" s="3"/>
      <c r="BC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84"/>
      <c r="AX801" s="85"/>
      <c r="AY801" s="3"/>
      <c r="AZ801" s="3"/>
      <c r="BA801" s="3"/>
      <c r="BB801" s="3"/>
      <c r="BC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84"/>
      <c r="AX802" s="85"/>
      <c r="AY802" s="3"/>
      <c r="AZ802" s="3"/>
      <c r="BA802" s="3"/>
      <c r="BB802" s="3"/>
      <c r="BC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84"/>
      <c r="AX803" s="85"/>
      <c r="AY803" s="3"/>
      <c r="AZ803" s="3"/>
      <c r="BA803" s="3"/>
      <c r="BB803" s="3"/>
      <c r="BC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84"/>
      <c r="AX804" s="85"/>
      <c r="AY804" s="3"/>
      <c r="AZ804" s="3"/>
      <c r="BA804" s="3"/>
      <c r="BB804" s="3"/>
      <c r="BC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84"/>
      <c r="AX805" s="85"/>
      <c r="AY805" s="3"/>
      <c r="AZ805" s="3"/>
      <c r="BA805" s="3"/>
      <c r="BB805" s="3"/>
      <c r="BC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84"/>
      <c r="AX806" s="85"/>
      <c r="AY806" s="3"/>
      <c r="AZ806" s="3"/>
      <c r="BA806" s="3"/>
      <c r="BB806" s="3"/>
      <c r="BC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84"/>
      <c r="AX807" s="85"/>
      <c r="AY807" s="3"/>
      <c r="AZ807" s="3"/>
      <c r="BA807" s="3"/>
      <c r="BB807" s="3"/>
      <c r="BC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84"/>
      <c r="AX808" s="85"/>
      <c r="AY808" s="3"/>
      <c r="AZ808" s="3"/>
      <c r="BA808" s="3"/>
      <c r="BB808" s="3"/>
      <c r="BC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84"/>
      <c r="AX809" s="85"/>
      <c r="AY809" s="3"/>
      <c r="AZ809" s="3"/>
      <c r="BA809" s="3"/>
      <c r="BB809" s="3"/>
      <c r="BC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84"/>
      <c r="AX810" s="85"/>
      <c r="AY810" s="3"/>
      <c r="AZ810" s="3"/>
      <c r="BA810" s="3"/>
      <c r="BB810" s="3"/>
      <c r="BC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84"/>
      <c r="AX811" s="85"/>
      <c r="AY811" s="3"/>
      <c r="AZ811" s="3"/>
      <c r="BA811" s="3"/>
      <c r="BB811" s="3"/>
      <c r="BC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84"/>
      <c r="AX812" s="85"/>
      <c r="AY812" s="3"/>
      <c r="AZ812" s="3"/>
      <c r="BA812" s="3"/>
      <c r="BB812" s="3"/>
      <c r="BC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84"/>
      <c r="AX813" s="85"/>
      <c r="AY813" s="3"/>
      <c r="AZ813" s="3"/>
      <c r="BA813" s="3"/>
      <c r="BB813" s="3"/>
      <c r="BC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84"/>
      <c r="AX814" s="85"/>
      <c r="AY814" s="3"/>
      <c r="AZ814" s="3"/>
      <c r="BA814" s="3"/>
      <c r="BB814" s="3"/>
      <c r="BC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84"/>
      <c r="AX815" s="85"/>
      <c r="AY815" s="3"/>
      <c r="AZ815" s="3"/>
      <c r="BA815" s="3"/>
      <c r="BB815" s="3"/>
      <c r="BC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84"/>
      <c r="AX816" s="85"/>
      <c r="AY816" s="3"/>
      <c r="AZ816" s="3"/>
      <c r="BA816" s="3"/>
      <c r="BB816" s="3"/>
      <c r="BC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84"/>
      <c r="AX817" s="85"/>
      <c r="AY817" s="3"/>
      <c r="AZ817" s="3"/>
      <c r="BA817" s="3"/>
      <c r="BB817" s="3"/>
      <c r="BC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84"/>
      <c r="AX818" s="85"/>
      <c r="AY818" s="3"/>
      <c r="AZ818" s="3"/>
      <c r="BA818" s="3"/>
      <c r="BB818" s="3"/>
      <c r="BC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84"/>
      <c r="AX819" s="85"/>
      <c r="AY819" s="3"/>
      <c r="AZ819" s="3"/>
      <c r="BA819" s="3"/>
      <c r="BB819" s="3"/>
      <c r="BC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84"/>
      <c r="AX820" s="85"/>
      <c r="AY820" s="3"/>
      <c r="AZ820" s="3"/>
      <c r="BA820" s="3"/>
      <c r="BB820" s="3"/>
      <c r="BC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84"/>
      <c r="AX821" s="85"/>
      <c r="AY821" s="3"/>
      <c r="AZ821" s="3"/>
      <c r="BA821" s="3"/>
      <c r="BB821" s="3"/>
      <c r="BC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84"/>
      <c r="AX822" s="85"/>
      <c r="AY822" s="3"/>
      <c r="AZ822" s="3"/>
      <c r="BA822" s="3"/>
      <c r="BB822" s="3"/>
      <c r="BC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84"/>
      <c r="AX823" s="85"/>
      <c r="AY823" s="3"/>
      <c r="AZ823" s="3"/>
      <c r="BA823" s="3"/>
      <c r="BB823" s="3"/>
      <c r="BC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84"/>
      <c r="AX824" s="85"/>
      <c r="AY824" s="3"/>
      <c r="AZ824" s="3"/>
      <c r="BA824" s="3"/>
      <c r="BB824" s="3"/>
      <c r="BC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84"/>
      <c r="AX825" s="85"/>
      <c r="AY825" s="3"/>
      <c r="AZ825" s="3"/>
      <c r="BA825" s="3"/>
      <c r="BB825" s="3"/>
      <c r="BC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84"/>
      <c r="AX826" s="85"/>
      <c r="AY826" s="3"/>
      <c r="AZ826" s="3"/>
      <c r="BA826" s="3"/>
      <c r="BB826" s="3"/>
      <c r="BC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84"/>
      <c r="AX827" s="85"/>
      <c r="AY827" s="3"/>
      <c r="AZ827" s="3"/>
      <c r="BA827" s="3"/>
      <c r="BB827" s="3"/>
      <c r="BC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84"/>
      <c r="AX828" s="85"/>
      <c r="AY828" s="3"/>
      <c r="AZ828" s="3"/>
      <c r="BA828" s="3"/>
      <c r="BB828" s="3"/>
      <c r="BC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84"/>
      <c r="AX829" s="85"/>
      <c r="AY829" s="3"/>
      <c r="AZ829" s="3"/>
      <c r="BA829" s="3"/>
      <c r="BB829" s="3"/>
      <c r="BC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84"/>
      <c r="AX830" s="85"/>
      <c r="AY830" s="3"/>
      <c r="AZ830" s="3"/>
      <c r="BA830" s="3"/>
      <c r="BB830" s="3"/>
      <c r="BC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84"/>
      <c r="AX831" s="85"/>
      <c r="AY831" s="3"/>
      <c r="AZ831" s="3"/>
      <c r="BA831" s="3"/>
      <c r="BB831" s="3"/>
      <c r="BC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84"/>
      <c r="AX832" s="85"/>
      <c r="AY832" s="3"/>
      <c r="AZ832" s="3"/>
      <c r="BA832" s="3"/>
      <c r="BB832" s="3"/>
      <c r="BC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84"/>
      <c r="AX833" s="85"/>
      <c r="AY833" s="3"/>
      <c r="AZ833" s="3"/>
      <c r="BA833" s="3"/>
      <c r="BB833" s="3"/>
      <c r="BC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84"/>
      <c r="AX834" s="85"/>
      <c r="AY834" s="3"/>
      <c r="AZ834" s="3"/>
      <c r="BA834" s="3"/>
      <c r="BB834" s="3"/>
      <c r="BC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84"/>
      <c r="AX835" s="85"/>
      <c r="AY835" s="3"/>
      <c r="AZ835" s="3"/>
      <c r="BA835" s="3"/>
      <c r="BB835" s="3"/>
      <c r="BC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84"/>
      <c r="AX836" s="85"/>
      <c r="AY836" s="3"/>
      <c r="AZ836" s="3"/>
      <c r="BA836" s="3"/>
      <c r="BB836" s="3"/>
      <c r="BC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84"/>
      <c r="AX837" s="85"/>
      <c r="AY837" s="3"/>
      <c r="AZ837" s="3"/>
      <c r="BA837" s="3"/>
      <c r="BB837" s="3"/>
      <c r="BC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84"/>
      <c r="AX838" s="85"/>
      <c r="AY838" s="3"/>
      <c r="AZ838" s="3"/>
      <c r="BA838" s="3"/>
      <c r="BB838" s="3"/>
      <c r="BC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84"/>
      <c r="AX839" s="85"/>
      <c r="AY839" s="3"/>
      <c r="AZ839" s="3"/>
      <c r="BA839" s="3"/>
      <c r="BB839" s="3"/>
      <c r="BC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84"/>
      <c r="AX840" s="85"/>
      <c r="AY840" s="3"/>
      <c r="AZ840" s="3"/>
      <c r="BA840" s="3"/>
      <c r="BB840" s="3"/>
      <c r="BC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84"/>
      <c r="AX841" s="85"/>
      <c r="AY841" s="3"/>
      <c r="AZ841" s="3"/>
      <c r="BA841" s="3"/>
      <c r="BB841" s="3"/>
      <c r="BC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84"/>
      <c r="AX842" s="85"/>
      <c r="AY842" s="3"/>
      <c r="AZ842" s="3"/>
      <c r="BA842" s="3"/>
      <c r="BB842" s="3"/>
      <c r="BC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84"/>
      <c r="AX843" s="85"/>
      <c r="AY843" s="3"/>
      <c r="AZ843" s="3"/>
      <c r="BA843" s="3"/>
      <c r="BB843" s="3"/>
      <c r="BC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84"/>
      <c r="AX844" s="85"/>
      <c r="AY844" s="3"/>
      <c r="AZ844" s="3"/>
      <c r="BA844" s="3"/>
      <c r="BB844" s="3"/>
      <c r="BC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84"/>
      <c r="AX845" s="85"/>
      <c r="AY845" s="3"/>
      <c r="AZ845" s="3"/>
      <c r="BA845" s="3"/>
      <c r="BB845" s="3"/>
      <c r="BC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84"/>
      <c r="AX846" s="85"/>
      <c r="AY846" s="3"/>
      <c r="AZ846" s="3"/>
      <c r="BA846" s="3"/>
      <c r="BB846" s="3"/>
      <c r="BC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84"/>
      <c r="AX847" s="85"/>
      <c r="AY847" s="3"/>
      <c r="AZ847" s="3"/>
      <c r="BA847" s="3"/>
      <c r="BB847" s="3"/>
      <c r="BC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84"/>
      <c r="AX848" s="85"/>
      <c r="AY848" s="3"/>
      <c r="AZ848" s="3"/>
      <c r="BA848" s="3"/>
      <c r="BB848" s="3"/>
      <c r="BC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84"/>
      <c r="AX849" s="85"/>
      <c r="AY849" s="3"/>
      <c r="AZ849" s="3"/>
      <c r="BA849" s="3"/>
      <c r="BB849" s="3"/>
      <c r="BC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84"/>
      <c r="AX850" s="85"/>
      <c r="AY850" s="3"/>
      <c r="AZ850" s="3"/>
      <c r="BA850" s="3"/>
      <c r="BB850" s="3"/>
      <c r="BC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84"/>
      <c r="AX851" s="85"/>
      <c r="AY851" s="3"/>
      <c r="AZ851" s="3"/>
      <c r="BA851" s="3"/>
      <c r="BB851" s="3"/>
      <c r="BC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84"/>
      <c r="AX852" s="85"/>
      <c r="AY852" s="3"/>
      <c r="AZ852" s="3"/>
      <c r="BA852" s="3"/>
      <c r="BB852" s="3"/>
      <c r="BC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84"/>
      <c r="AX853" s="85"/>
      <c r="AY853" s="3"/>
      <c r="AZ853" s="3"/>
      <c r="BA853" s="3"/>
      <c r="BB853" s="3"/>
      <c r="BC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84"/>
      <c r="AX854" s="85"/>
      <c r="AY854" s="3"/>
      <c r="AZ854" s="3"/>
      <c r="BA854" s="3"/>
      <c r="BB854" s="3"/>
      <c r="BC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84"/>
      <c r="AX855" s="85"/>
      <c r="AY855" s="3"/>
      <c r="AZ855" s="3"/>
      <c r="BA855" s="3"/>
      <c r="BB855" s="3"/>
      <c r="BC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84"/>
      <c r="AX856" s="85"/>
      <c r="AY856" s="3"/>
      <c r="AZ856" s="3"/>
      <c r="BA856" s="3"/>
      <c r="BB856" s="3"/>
      <c r="BC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84"/>
      <c r="AX857" s="85"/>
      <c r="AY857" s="3"/>
      <c r="AZ857" s="3"/>
      <c r="BA857" s="3"/>
      <c r="BB857" s="3"/>
      <c r="BC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84"/>
      <c r="AX858" s="85"/>
      <c r="AY858" s="3"/>
      <c r="AZ858" s="3"/>
      <c r="BA858" s="3"/>
      <c r="BB858" s="3"/>
      <c r="BC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84"/>
      <c r="AX859" s="85"/>
      <c r="AY859" s="3"/>
      <c r="AZ859" s="3"/>
      <c r="BA859" s="3"/>
      <c r="BB859" s="3"/>
      <c r="BC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84"/>
      <c r="AX860" s="85"/>
      <c r="AY860" s="3"/>
      <c r="AZ860" s="3"/>
      <c r="BA860" s="3"/>
      <c r="BB860" s="3"/>
      <c r="BC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84"/>
      <c r="AX861" s="85"/>
      <c r="AY861" s="3"/>
      <c r="AZ861" s="3"/>
      <c r="BA861" s="3"/>
      <c r="BB861" s="3"/>
      <c r="BC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84"/>
      <c r="AX862" s="85"/>
      <c r="AY862" s="3"/>
      <c r="AZ862" s="3"/>
      <c r="BA862" s="3"/>
      <c r="BB862" s="3"/>
      <c r="BC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84"/>
      <c r="AX863" s="85"/>
      <c r="AY863" s="3"/>
      <c r="AZ863" s="3"/>
      <c r="BA863" s="3"/>
      <c r="BB863" s="3"/>
      <c r="BC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84"/>
      <c r="AX864" s="85"/>
      <c r="AY864" s="3"/>
      <c r="AZ864" s="3"/>
      <c r="BA864" s="3"/>
      <c r="BB864" s="3"/>
      <c r="BC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84"/>
      <c r="AX865" s="85"/>
      <c r="AY865" s="3"/>
      <c r="AZ865" s="3"/>
      <c r="BA865" s="3"/>
      <c r="BB865" s="3"/>
      <c r="BC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84"/>
      <c r="AX866" s="85"/>
      <c r="AY866" s="3"/>
      <c r="AZ866" s="3"/>
      <c r="BA866" s="3"/>
      <c r="BB866" s="3"/>
      <c r="BC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84"/>
      <c r="AX867" s="85"/>
      <c r="AY867" s="3"/>
      <c r="AZ867" s="3"/>
      <c r="BA867" s="3"/>
      <c r="BB867" s="3"/>
      <c r="BC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84"/>
      <c r="AX868" s="85"/>
      <c r="AY868" s="3"/>
      <c r="AZ868" s="3"/>
      <c r="BA868" s="3"/>
      <c r="BB868" s="3"/>
      <c r="BC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84"/>
      <c r="AX869" s="85"/>
      <c r="AY869" s="3"/>
      <c r="AZ869" s="3"/>
      <c r="BA869" s="3"/>
      <c r="BB869" s="3"/>
      <c r="BC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84"/>
      <c r="AX870" s="85"/>
      <c r="AY870" s="3"/>
      <c r="AZ870" s="3"/>
      <c r="BA870" s="3"/>
      <c r="BB870" s="3"/>
      <c r="BC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84"/>
      <c r="AX871" s="85"/>
      <c r="AY871" s="3"/>
      <c r="AZ871" s="3"/>
      <c r="BA871" s="3"/>
      <c r="BB871" s="3"/>
      <c r="BC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84"/>
      <c r="AX872" s="85"/>
      <c r="AY872" s="3"/>
      <c r="AZ872" s="3"/>
      <c r="BA872" s="3"/>
      <c r="BB872" s="3"/>
      <c r="BC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84"/>
      <c r="AX873" s="85"/>
      <c r="AY873" s="3"/>
      <c r="AZ873" s="3"/>
      <c r="BA873" s="3"/>
      <c r="BB873" s="3"/>
      <c r="BC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84"/>
      <c r="AX874" s="85"/>
      <c r="AY874" s="3"/>
      <c r="AZ874" s="3"/>
      <c r="BA874" s="3"/>
      <c r="BB874" s="3"/>
      <c r="BC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84"/>
      <c r="AX875" s="85"/>
      <c r="AY875" s="3"/>
      <c r="AZ875" s="3"/>
      <c r="BA875" s="3"/>
      <c r="BB875" s="3"/>
      <c r="BC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84"/>
      <c r="AX876" s="85"/>
      <c r="AY876" s="3"/>
      <c r="AZ876" s="3"/>
      <c r="BA876" s="3"/>
      <c r="BB876" s="3"/>
      <c r="BC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84"/>
      <c r="AX877" s="85"/>
      <c r="AY877" s="3"/>
      <c r="AZ877" s="3"/>
      <c r="BA877" s="3"/>
      <c r="BB877" s="3"/>
      <c r="BC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84"/>
      <c r="AX878" s="85"/>
      <c r="AY878" s="3"/>
      <c r="AZ878" s="3"/>
      <c r="BA878" s="3"/>
      <c r="BB878" s="3"/>
      <c r="BC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84"/>
      <c r="AX879" s="85"/>
      <c r="AY879" s="3"/>
      <c r="AZ879" s="3"/>
      <c r="BA879" s="3"/>
      <c r="BB879" s="3"/>
      <c r="BC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84"/>
      <c r="AX880" s="85"/>
      <c r="AY880" s="3"/>
      <c r="AZ880" s="3"/>
      <c r="BA880" s="3"/>
      <c r="BB880" s="3"/>
      <c r="BC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84"/>
      <c r="AX881" s="85"/>
      <c r="AY881" s="3"/>
      <c r="AZ881" s="3"/>
      <c r="BA881" s="3"/>
      <c r="BB881" s="3"/>
      <c r="BC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84"/>
      <c r="AX882" s="85"/>
      <c r="AY882" s="3"/>
      <c r="AZ882" s="3"/>
      <c r="BA882" s="3"/>
      <c r="BB882" s="3"/>
      <c r="BC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84"/>
      <c r="AX883" s="85"/>
      <c r="AY883" s="3"/>
      <c r="AZ883" s="3"/>
      <c r="BA883" s="3"/>
      <c r="BB883" s="3"/>
      <c r="BC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84"/>
      <c r="AX884" s="85"/>
      <c r="AY884" s="3"/>
      <c r="AZ884" s="3"/>
      <c r="BA884" s="3"/>
      <c r="BB884" s="3"/>
      <c r="BC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84"/>
      <c r="AX885" s="85"/>
      <c r="AY885" s="3"/>
      <c r="AZ885" s="3"/>
      <c r="BA885" s="3"/>
      <c r="BB885" s="3"/>
      <c r="BC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84"/>
      <c r="AX886" s="85"/>
      <c r="AY886" s="3"/>
      <c r="AZ886" s="3"/>
      <c r="BA886" s="3"/>
      <c r="BB886" s="3"/>
      <c r="BC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84"/>
      <c r="AX887" s="85"/>
      <c r="AY887" s="3"/>
      <c r="AZ887" s="3"/>
      <c r="BA887" s="3"/>
      <c r="BB887" s="3"/>
      <c r="BC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84"/>
      <c r="AX888" s="85"/>
      <c r="AY888" s="3"/>
      <c r="AZ888" s="3"/>
      <c r="BA888" s="3"/>
      <c r="BB888" s="3"/>
      <c r="BC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84"/>
      <c r="AX889" s="85"/>
      <c r="AY889" s="3"/>
      <c r="AZ889" s="3"/>
      <c r="BA889" s="3"/>
      <c r="BB889" s="3"/>
      <c r="BC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84"/>
      <c r="AX890" s="85"/>
      <c r="AY890" s="3"/>
      <c r="AZ890" s="3"/>
      <c r="BA890" s="3"/>
      <c r="BB890" s="3"/>
      <c r="BC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84"/>
      <c r="AX891" s="85"/>
      <c r="AY891" s="3"/>
      <c r="AZ891" s="3"/>
      <c r="BA891" s="3"/>
      <c r="BB891" s="3"/>
      <c r="BC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84"/>
      <c r="AX892" s="85"/>
      <c r="AY892" s="3"/>
      <c r="AZ892" s="3"/>
      <c r="BA892" s="3"/>
      <c r="BB892" s="3"/>
      <c r="BC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84"/>
      <c r="AX893" s="85"/>
      <c r="AY893" s="3"/>
      <c r="AZ893" s="3"/>
      <c r="BA893" s="3"/>
      <c r="BB893" s="3"/>
      <c r="BC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84"/>
      <c r="AX894" s="85"/>
      <c r="AY894" s="3"/>
      <c r="AZ894" s="3"/>
      <c r="BA894" s="3"/>
      <c r="BB894" s="3"/>
      <c r="BC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84"/>
      <c r="AX895" s="85"/>
      <c r="AY895" s="3"/>
      <c r="AZ895" s="3"/>
      <c r="BA895" s="3"/>
      <c r="BB895" s="3"/>
      <c r="BC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84"/>
      <c r="AX896" s="85"/>
      <c r="AY896" s="3"/>
      <c r="AZ896" s="3"/>
      <c r="BA896" s="3"/>
      <c r="BB896" s="3"/>
      <c r="BC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84"/>
      <c r="AX897" s="85"/>
      <c r="AY897" s="3"/>
      <c r="AZ897" s="3"/>
      <c r="BA897" s="3"/>
      <c r="BB897" s="3"/>
      <c r="BC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84"/>
      <c r="AX898" s="85"/>
      <c r="AY898" s="3"/>
      <c r="AZ898" s="3"/>
      <c r="BA898" s="3"/>
      <c r="BB898" s="3"/>
      <c r="BC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84"/>
      <c r="AX899" s="85"/>
      <c r="AY899" s="3"/>
      <c r="AZ899" s="3"/>
      <c r="BA899" s="3"/>
      <c r="BB899" s="3"/>
      <c r="BC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84"/>
      <c r="AX900" s="85"/>
      <c r="AY900" s="3"/>
      <c r="AZ900" s="3"/>
      <c r="BA900" s="3"/>
      <c r="BB900" s="3"/>
      <c r="BC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84"/>
      <c r="AX901" s="85"/>
      <c r="AY901" s="3"/>
      <c r="AZ901" s="3"/>
      <c r="BA901" s="3"/>
      <c r="BB901" s="3"/>
      <c r="BC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84"/>
      <c r="AX902" s="85"/>
      <c r="AY902" s="3"/>
      <c r="AZ902" s="3"/>
      <c r="BA902" s="3"/>
      <c r="BB902" s="3"/>
      <c r="BC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84"/>
      <c r="AX903" s="85"/>
      <c r="AY903" s="3"/>
      <c r="AZ903" s="3"/>
      <c r="BA903" s="3"/>
      <c r="BB903" s="3"/>
      <c r="BC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84"/>
      <c r="AX904" s="85"/>
      <c r="AY904" s="3"/>
      <c r="AZ904" s="3"/>
      <c r="BA904" s="3"/>
      <c r="BB904" s="3"/>
      <c r="BC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84"/>
      <c r="AX905" s="85"/>
      <c r="AY905" s="3"/>
      <c r="AZ905" s="3"/>
      <c r="BA905" s="3"/>
      <c r="BB905" s="3"/>
      <c r="BC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84"/>
      <c r="AX906" s="85"/>
      <c r="AY906" s="3"/>
      <c r="AZ906" s="3"/>
      <c r="BA906" s="3"/>
      <c r="BB906" s="3"/>
      <c r="BC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84"/>
      <c r="AX907" s="85"/>
      <c r="AY907" s="3"/>
      <c r="AZ907" s="3"/>
      <c r="BA907" s="3"/>
      <c r="BB907" s="3"/>
      <c r="BC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84"/>
      <c r="AX908" s="85"/>
      <c r="AY908" s="3"/>
      <c r="AZ908" s="3"/>
      <c r="BA908" s="3"/>
      <c r="BB908" s="3"/>
      <c r="BC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84"/>
      <c r="AX909" s="85"/>
      <c r="AY909" s="3"/>
      <c r="AZ909" s="3"/>
      <c r="BA909" s="3"/>
      <c r="BB909" s="3"/>
      <c r="BC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84"/>
      <c r="AX910" s="85"/>
      <c r="AY910" s="3"/>
      <c r="AZ910" s="3"/>
      <c r="BA910" s="3"/>
      <c r="BB910" s="3"/>
      <c r="BC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84"/>
      <c r="AX911" s="85"/>
      <c r="AY911" s="3"/>
      <c r="AZ911" s="3"/>
      <c r="BA911" s="3"/>
      <c r="BB911" s="3"/>
      <c r="BC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84"/>
      <c r="AX912" s="85"/>
      <c r="AY912" s="3"/>
      <c r="AZ912" s="3"/>
      <c r="BA912" s="3"/>
      <c r="BB912" s="3"/>
      <c r="BC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84"/>
      <c r="AX913" s="85"/>
      <c r="AY913" s="3"/>
      <c r="AZ913" s="3"/>
      <c r="BA913" s="3"/>
      <c r="BB913" s="3"/>
      <c r="BC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84"/>
      <c r="AX914" s="85"/>
      <c r="AY914" s="3"/>
      <c r="AZ914" s="3"/>
      <c r="BA914" s="3"/>
      <c r="BB914" s="3"/>
      <c r="BC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84"/>
      <c r="AX915" s="85"/>
      <c r="AY915" s="3"/>
      <c r="AZ915" s="3"/>
      <c r="BA915" s="3"/>
      <c r="BB915" s="3"/>
      <c r="BC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84"/>
      <c r="AX916" s="85"/>
      <c r="AY916" s="3"/>
      <c r="AZ916" s="3"/>
      <c r="BA916" s="3"/>
      <c r="BB916" s="3"/>
      <c r="BC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84"/>
      <c r="AX917" s="85"/>
      <c r="AY917" s="3"/>
      <c r="AZ917" s="3"/>
      <c r="BA917" s="3"/>
      <c r="BB917" s="3"/>
      <c r="BC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84"/>
      <c r="AX918" s="85"/>
      <c r="AY918" s="3"/>
      <c r="AZ918" s="3"/>
      <c r="BA918" s="3"/>
      <c r="BB918" s="3"/>
      <c r="BC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84"/>
      <c r="AX919" s="85"/>
      <c r="AY919" s="3"/>
      <c r="AZ919" s="3"/>
      <c r="BA919" s="3"/>
      <c r="BB919" s="3"/>
      <c r="BC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84"/>
      <c r="AX920" s="85"/>
      <c r="AY920" s="3"/>
      <c r="AZ920" s="3"/>
      <c r="BA920" s="3"/>
      <c r="BB920" s="3"/>
      <c r="BC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84"/>
      <c r="AX921" s="85"/>
      <c r="AY921" s="3"/>
      <c r="AZ921" s="3"/>
      <c r="BA921" s="3"/>
      <c r="BB921" s="3"/>
      <c r="BC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84"/>
      <c r="AX922" s="85"/>
      <c r="AY922" s="3"/>
      <c r="AZ922" s="3"/>
      <c r="BA922" s="3"/>
      <c r="BB922" s="3"/>
      <c r="BC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84"/>
      <c r="AX923" s="85"/>
      <c r="AY923" s="3"/>
      <c r="AZ923" s="3"/>
      <c r="BA923" s="3"/>
      <c r="BB923" s="3"/>
      <c r="BC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84"/>
      <c r="AX924" s="85"/>
      <c r="AY924" s="3"/>
      <c r="AZ924" s="3"/>
      <c r="BA924" s="3"/>
      <c r="BB924" s="3"/>
      <c r="BC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84"/>
      <c r="AX925" s="85"/>
      <c r="AY925" s="3"/>
      <c r="AZ925" s="3"/>
      <c r="BA925" s="3"/>
      <c r="BB925" s="3"/>
      <c r="BC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84"/>
      <c r="AX926" s="85"/>
      <c r="AY926" s="3"/>
      <c r="AZ926" s="3"/>
      <c r="BA926" s="3"/>
      <c r="BB926" s="3"/>
      <c r="BC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84"/>
      <c r="AX927" s="85"/>
      <c r="AY927" s="3"/>
      <c r="AZ927" s="3"/>
      <c r="BA927" s="3"/>
      <c r="BB927" s="3"/>
      <c r="BC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84"/>
      <c r="AX928" s="85"/>
      <c r="AY928" s="3"/>
      <c r="AZ928" s="3"/>
      <c r="BA928" s="3"/>
      <c r="BB928" s="3"/>
      <c r="BC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84"/>
      <c r="AX929" s="85"/>
      <c r="AY929" s="3"/>
      <c r="AZ929" s="3"/>
      <c r="BA929" s="3"/>
      <c r="BB929" s="3"/>
      <c r="BC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84"/>
      <c r="AX930" s="85"/>
      <c r="AY930" s="3"/>
      <c r="AZ930" s="3"/>
      <c r="BA930" s="3"/>
      <c r="BB930" s="3"/>
      <c r="BC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84"/>
      <c r="AX931" s="85"/>
      <c r="AY931" s="3"/>
      <c r="AZ931" s="3"/>
      <c r="BA931" s="3"/>
      <c r="BB931" s="3"/>
      <c r="BC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84"/>
      <c r="AX932" s="85"/>
      <c r="AY932" s="3"/>
      <c r="AZ932" s="3"/>
      <c r="BA932" s="3"/>
      <c r="BB932" s="3"/>
      <c r="BC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84"/>
      <c r="AX933" s="85"/>
      <c r="AY933" s="3"/>
      <c r="AZ933" s="3"/>
      <c r="BA933" s="3"/>
      <c r="BB933" s="3"/>
      <c r="BC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84"/>
      <c r="AX934" s="85"/>
      <c r="AY934" s="3"/>
      <c r="AZ934" s="3"/>
      <c r="BA934" s="3"/>
      <c r="BB934" s="3"/>
      <c r="BC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84"/>
      <c r="AX935" s="85"/>
      <c r="AY935" s="3"/>
      <c r="AZ935" s="3"/>
      <c r="BA935" s="3"/>
      <c r="BB935" s="3"/>
      <c r="BC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84"/>
      <c r="AX936" s="85"/>
      <c r="AY936" s="3"/>
      <c r="AZ936" s="3"/>
      <c r="BA936" s="3"/>
      <c r="BB936" s="3"/>
      <c r="BC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84"/>
      <c r="AX937" s="85"/>
      <c r="AY937" s="3"/>
      <c r="AZ937" s="3"/>
      <c r="BA937" s="3"/>
      <c r="BB937" s="3"/>
      <c r="BC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84"/>
      <c r="AX938" s="85"/>
      <c r="AY938" s="3"/>
      <c r="AZ938" s="3"/>
      <c r="BA938" s="3"/>
      <c r="BB938" s="3"/>
      <c r="BC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84"/>
      <c r="AX939" s="85"/>
      <c r="AY939" s="3"/>
      <c r="AZ939" s="3"/>
      <c r="BA939" s="3"/>
      <c r="BB939" s="3"/>
      <c r="BC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84"/>
      <c r="AX940" s="85"/>
      <c r="AY940" s="3"/>
      <c r="AZ940" s="3"/>
      <c r="BA940" s="3"/>
      <c r="BB940" s="3"/>
      <c r="BC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84"/>
      <c r="AX941" s="85"/>
      <c r="AY941" s="3"/>
      <c r="AZ941" s="3"/>
      <c r="BA941" s="3"/>
      <c r="BB941" s="3"/>
      <c r="BC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84"/>
      <c r="AX942" s="85"/>
      <c r="AY942" s="3"/>
      <c r="AZ942" s="3"/>
      <c r="BA942" s="3"/>
      <c r="BB942" s="3"/>
      <c r="BC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84"/>
      <c r="AX943" s="85"/>
      <c r="AY943" s="3"/>
      <c r="AZ943" s="3"/>
      <c r="BA943" s="3"/>
      <c r="BB943" s="3"/>
      <c r="BC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84"/>
      <c r="AX944" s="85"/>
      <c r="AY944" s="3"/>
      <c r="AZ944" s="3"/>
      <c r="BA944" s="3"/>
      <c r="BB944" s="3"/>
      <c r="BC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84"/>
      <c r="AX945" s="85"/>
      <c r="AY945" s="3"/>
      <c r="AZ945" s="3"/>
      <c r="BA945" s="3"/>
      <c r="BB945" s="3"/>
      <c r="BC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84"/>
      <c r="AX946" s="85"/>
      <c r="AY946" s="3"/>
      <c r="AZ946" s="3"/>
      <c r="BA946" s="3"/>
      <c r="BB946" s="3"/>
      <c r="BC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84"/>
      <c r="AX947" s="85"/>
      <c r="AY947" s="3"/>
      <c r="AZ947" s="3"/>
      <c r="BA947" s="3"/>
      <c r="BB947" s="3"/>
      <c r="BC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84"/>
      <c r="AX948" s="85"/>
      <c r="AY948" s="3"/>
      <c r="AZ948" s="3"/>
      <c r="BA948" s="3"/>
      <c r="BB948" s="3"/>
      <c r="BC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84"/>
      <c r="AX949" s="85"/>
      <c r="AY949" s="3"/>
      <c r="AZ949" s="3"/>
      <c r="BA949" s="3"/>
      <c r="BB949" s="3"/>
      <c r="BC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84"/>
      <c r="AX950" s="85"/>
      <c r="AY950" s="3"/>
      <c r="AZ950" s="3"/>
      <c r="BA950" s="3"/>
      <c r="BB950" s="3"/>
      <c r="BC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84"/>
      <c r="AX951" s="85"/>
      <c r="AY951" s="3"/>
      <c r="AZ951" s="3"/>
      <c r="BA951" s="3"/>
      <c r="BB951" s="3"/>
      <c r="BC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84"/>
      <c r="AX952" s="85"/>
      <c r="AY952" s="3"/>
      <c r="AZ952" s="3"/>
      <c r="BA952" s="3"/>
      <c r="BB952" s="3"/>
      <c r="BC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84"/>
      <c r="AX953" s="85"/>
      <c r="AY953" s="3"/>
      <c r="AZ953" s="3"/>
      <c r="BA953" s="3"/>
      <c r="BB953" s="3"/>
      <c r="BC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84"/>
      <c r="AX954" s="85"/>
      <c r="AY954" s="3"/>
      <c r="AZ954" s="3"/>
      <c r="BA954" s="3"/>
      <c r="BB954" s="3"/>
      <c r="BC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84"/>
      <c r="AX955" s="85"/>
      <c r="AY955" s="3"/>
      <c r="AZ955" s="3"/>
      <c r="BA955" s="3"/>
      <c r="BB955" s="3"/>
      <c r="BC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84"/>
      <c r="AX956" s="85"/>
      <c r="AY956" s="3"/>
      <c r="AZ956" s="3"/>
      <c r="BA956" s="3"/>
      <c r="BB956" s="3"/>
      <c r="BC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84"/>
      <c r="AX957" s="85"/>
      <c r="AY957" s="3"/>
      <c r="AZ957" s="3"/>
      <c r="BA957" s="3"/>
      <c r="BB957" s="3"/>
      <c r="BC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84"/>
      <c r="AX958" s="85"/>
      <c r="AY958" s="3"/>
      <c r="AZ958" s="3"/>
      <c r="BA958" s="3"/>
      <c r="BB958" s="3"/>
      <c r="BC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84"/>
      <c r="AX959" s="85"/>
      <c r="AY959" s="3"/>
      <c r="AZ959" s="3"/>
      <c r="BA959" s="3"/>
      <c r="BB959" s="3"/>
      <c r="BC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84"/>
      <c r="AX960" s="85"/>
      <c r="AY960" s="3"/>
      <c r="AZ960" s="3"/>
      <c r="BA960" s="3"/>
      <c r="BB960" s="3"/>
      <c r="BC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84"/>
      <c r="AX961" s="85"/>
      <c r="AY961" s="3"/>
      <c r="AZ961" s="3"/>
      <c r="BA961" s="3"/>
      <c r="BB961" s="3"/>
      <c r="BC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84"/>
      <c r="AX962" s="85"/>
      <c r="AY962" s="3"/>
      <c r="AZ962" s="3"/>
      <c r="BA962" s="3"/>
      <c r="BB962" s="3"/>
      <c r="BC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84"/>
      <c r="AX963" s="85"/>
      <c r="AY963" s="3"/>
      <c r="AZ963" s="3"/>
      <c r="BA963" s="3"/>
      <c r="BB963" s="3"/>
      <c r="BC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84"/>
      <c r="AX964" s="85"/>
      <c r="AY964" s="3"/>
      <c r="AZ964" s="3"/>
      <c r="BA964" s="3"/>
      <c r="BB964" s="3"/>
      <c r="BC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84"/>
      <c r="AX965" s="85"/>
      <c r="AY965" s="3"/>
      <c r="AZ965" s="3"/>
      <c r="BA965" s="3"/>
      <c r="BB965" s="3"/>
      <c r="BC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84"/>
      <c r="AX966" s="85"/>
      <c r="AY966" s="3"/>
      <c r="AZ966" s="3"/>
      <c r="BA966" s="3"/>
      <c r="BB966" s="3"/>
      <c r="BC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84"/>
      <c r="AX967" s="85"/>
      <c r="AY967" s="3"/>
      <c r="AZ967" s="3"/>
      <c r="BA967" s="3"/>
      <c r="BB967" s="3"/>
      <c r="BC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84"/>
      <c r="AX968" s="85"/>
      <c r="AY968" s="3"/>
      <c r="AZ968" s="3"/>
      <c r="BA968" s="3"/>
      <c r="BB968" s="3"/>
      <c r="BC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84"/>
      <c r="AX969" s="85"/>
      <c r="AY969" s="3"/>
      <c r="AZ969" s="3"/>
      <c r="BA969" s="3"/>
      <c r="BB969" s="3"/>
      <c r="BC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84"/>
      <c r="AX970" s="85"/>
      <c r="AY970" s="3"/>
      <c r="AZ970" s="3"/>
      <c r="BA970" s="3"/>
      <c r="BB970" s="3"/>
      <c r="BC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84"/>
      <c r="AX971" s="85"/>
      <c r="AY971" s="3"/>
      <c r="AZ971" s="3"/>
      <c r="BA971" s="3"/>
      <c r="BB971" s="3"/>
      <c r="BC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84"/>
      <c r="AX972" s="85"/>
      <c r="AY972" s="3"/>
      <c r="AZ972" s="3"/>
      <c r="BA972" s="3"/>
      <c r="BB972" s="3"/>
      <c r="BC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84"/>
      <c r="AX973" s="85"/>
      <c r="AY973" s="3"/>
      <c r="AZ973" s="3"/>
      <c r="BA973" s="3"/>
      <c r="BB973" s="3"/>
      <c r="BC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84"/>
      <c r="AX974" s="85"/>
      <c r="AY974" s="3"/>
      <c r="AZ974" s="3"/>
      <c r="BA974" s="3"/>
      <c r="BB974" s="3"/>
      <c r="BC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84"/>
      <c r="AX975" s="85"/>
      <c r="AY975" s="3"/>
      <c r="AZ975" s="3"/>
      <c r="BA975" s="3"/>
      <c r="BB975" s="3"/>
      <c r="BC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84"/>
      <c r="AX976" s="85"/>
      <c r="AY976" s="3"/>
      <c r="AZ976" s="3"/>
      <c r="BA976" s="3"/>
      <c r="BB976" s="3"/>
      <c r="BC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84"/>
      <c r="AX977" s="85"/>
      <c r="AY977" s="3"/>
      <c r="AZ977" s="3"/>
      <c r="BA977" s="3"/>
      <c r="BB977" s="3"/>
      <c r="BC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84"/>
      <c r="AX978" s="85"/>
      <c r="AY978" s="3"/>
      <c r="AZ978" s="3"/>
      <c r="BA978" s="3"/>
      <c r="BB978" s="3"/>
      <c r="BC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84"/>
      <c r="AX979" s="85"/>
      <c r="AY979" s="3"/>
      <c r="AZ979" s="3"/>
      <c r="BA979" s="3"/>
      <c r="BB979" s="3"/>
      <c r="BC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84"/>
      <c r="AX980" s="85"/>
      <c r="AY980" s="3"/>
      <c r="AZ980" s="3"/>
      <c r="BA980" s="3"/>
      <c r="BB980" s="3"/>
      <c r="BC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84"/>
      <c r="AX981" s="85"/>
      <c r="AY981" s="3"/>
      <c r="AZ981" s="3"/>
      <c r="BA981" s="3"/>
      <c r="BB981" s="3"/>
      <c r="BC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84"/>
      <c r="AX982" s="85"/>
      <c r="AY982" s="3"/>
      <c r="AZ982" s="3"/>
      <c r="BA982" s="3"/>
      <c r="BB982" s="3"/>
      <c r="BC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84"/>
      <c r="AX983" s="85"/>
      <c r="AY983" s="3"/>
      <c r="AZ983" s="3"/>
      <c r="BA983" s="3"/>
      <c r="BB983" s="3"/>
      <c r="BC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84"/>
      <c r="AX984" s="85"/>
      <c r="AY984" s="3"/>
      <c r="AZ984" s="3"/>
      <c r="BA984" s="3"/>
      <c r="BB984" s="3"/>
      <c r="BC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84"/>
      <c r="AX985" s="85"/>
      <c r="AY985" s="3"/>
      <c r="AZ985" s="3"/>
      <c r="BA985" s="3"/>
      <c r="BB985" s="3"/>
      <c r="BC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84"/>
      <c r="AX986" s="85"/>
      <c r="AY986" s="3"/>
      <c r="AZ986" s="3"/>
      <c r="BA986" s="3"/>
      <c r="BB986" s="3"/>
      <c r="BC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84"/>
      <c r="AX987" s="85"/>
      <c r="AY987" s="3"/>
      <c r="AZ987" s="3"/>
      <c r="BA987" s="3"/>
      <c r="BB987" s="3"/>
      <c r="BC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84"/>
      <c r="AX988" s="85"/>
      <c r="AY988" s="3"/>
      <c r="AZ988" s="3"/>
      <c r="BA988" s="3"/>
      <c r="BB988" s="3"/>
      <c r="BC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84"/>
      <c r="AX989" s="85"/>
      <c r="AY989" s="3"/>
      <c r="AZ989" s="3"/>
      <c r="BA989" s="3"/>
      <c r="BB989" s="3"/>
      <c r="BC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84"/>
      <c r="AX990" s="85"/>
      <c r="AY990" s="3"/>
      <c r="AZ990" s="3"/>
      <c r="BA990" s="3"/>
      <c r="BB990" s="3"/>
      <c r="BC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84"/>
      <c r="AX991" s="85"/>
      <c r="AY991" s="3"/>
      <c r="AZ991" s="3"/>
      <c r="BA991" s="3"/>
      <c r="BB991" s="3"/>
      <c r="BC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84"/>
      <c r="AX992" s="85"/>
      <c r="AY992" s="3"/>
      <c r="AZ992" s="3"/>
      <c r="BA992" s="3"/>
      <c r="BB992" s="3"/>
      <c r="BC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84"/>
      <c r="AX993" s="85"/>
      <c r="AY993" s="3"/>
      <c r="AZ993" s="3"/>
      <c r="BA993" s="3"/>
      <c r="BB993" s="3"/>
      <c r="BC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84"/>
      <c r="AX994" s="85"/>
      <c r="AY994" s="3"/>
      <c r="AZ994" s="3"/>
      <c r="BA994" s="3"/>
      <c r="BB994" s="3"/>
      <c r="BC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84"/>
      <c r="AX995" s="85"/>
      <c r="AY995" s="3"/>
      <c r="AZ995" s="3"/>
      <c r="BA995" s="3"/>
      <c r="BB995" s="3"/>
      <c r="BC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84"/>
      <c r="AX996" s="85"/>
      <c r="AY996" s="3"/>
      <c r="AZ996" s="3"/>
      <c r="BA996" s="3"/>
      <c r="BB996" s="3"/>
      <c r="BC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84"/>
      <c r="AX997" s="85"/>
      <c r="AY997" s="3"/>
      <c r="AZ997" s="3"/>
      <c r="BA997" s="3"/>
      <c r="BB997" s="3"/>
      <c r="BC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84"/>
      <c r="AX998" s="85"/>
      <c r="AY998" s="3"/>
      <c r="AZ998" s="3"/>
      <c r="BA998" s="3"/>
      <c r="BB998" s="3"/>
      <c r="BC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84"/>
      <c r="AX999" s="85"/>
      <c r="AY999" s="3"/>
      <c r="AZ999" s="3"/>
      <c r="BA999" s="3"/>
      <c r="BB999" s="3"/>
      <c r="BC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84"/>
      <c r="AX1000" s="85"/>
      <c r="AY1000" s="3"/>
      <c r="AZ1000" s="3"/>
      <c r="BA1000" s="3"/>
      <c r="BB1000" s="3"/>
      <c r="BC1000" s="3"/>
    </row>
  </sheetData>
  <mergeCells count="34">
    <mergeCell ref="AT2:AT3"/>
    <mergeCell ref="AU2:AU3"/>
    <mergeCell ref="AW2:AW3"/>
    <mergeCell ref="AX2:AX3"/>
    <mergeCell ref="BA2:BA3"/>
    <mergeCell ref="BC2:BC3"/>
    <mergeCell ref="A2:A3"/>
    <mergeCell ref="B2:B3"/>
    <mergeCell ref="D2:S2"/>
    <mergeCell ref="T2:AI2"/>
    <mergeCell ref="AJ2:AQ2"/>
    <mergeCell ref="AR2:AR3"/>
    <mergeCell ref="AS2:AS3"/>
    <mergeCell ref="B28:C28"/>
    <mergeCell ref="B29:C29"/>
    <mergeCell ref="B30:C30"/>
    <mergeCell ref="B31:C31"/>
    <mergeCell ref="B32:C32"/>
    <mergeCell ref="B33:C33"/>
    <mergeCell ref="A35:AU35"/>
    <mergeCell ref="K37:V39"/>
    <mergeCell ref="K40:V41"/>
    <mergeCell ref="AL37:AU39"/>
    <mergeCell ref="AL40:AU41"/>
    <mergeCell ref="A41:I41"/>
    <mergeCell ref="A42:AU42"/>
    <mergeCell ref="A43:AU43"/>
    <mergeCell ref="A37:I38"/>
    <mergeCell ref="J37:J41"/>
    <mergeCell ref="W37:W41"/>
    <mergeCell ref="X37:AJ39"/>
    <mergeCell ref="B39:C39"/>
    <mergeCell ref="B40:C40"/>
    <mergeCell ref="X40:AJ41"/>
  </mergeCells>
  <conditionalFormatting sqref="AW1:AW10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1:AX2 AX4:AX1000">
    <cfRule type="containsText" dxfId="0" priority="2" operator="containsText" text="&quot;NORMAL&quot;">
      <formula>NOT(ISERROR(SEARCH(("""NORMAL"""),(AX1))))</formula>
    </cfRule>
  </conditionalFormatting>
  <conditionalFormatting sqref="AX1:AX2 AX4:AX1000">
    <cfRule type="containsText" dxfId="1" priority="3" operator="containsText" text="&quot;ESTOURADO&quot;">
      <formula>NOT(ISERROR(SEARCH(("""ESTOURADO"""),(AX1))))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9.75"/>
    <col customWidth="1" min="3" max="3" width="4.75"/>
    <col customWidth="1" min="4" max="43" width="2.13"/>
    <col customWidth="1" min="44" max="44" width="5.75"/>
    <col customWidth="1" min="45" max="45" width="4.75"/>
    <col customWidth="1" min="46" max="46" width="5.75"/>
    <col customWidth="1" min="47" max="47" width="6.75"/>
    <col customWidth="1" min="48" max="48" width="3.25"/>
    <col customWidth="1" min="49" max="49" width="14.75"/>
    <col customWidth="1" min="50" max="50" width="13.38"/>
    <col customWidth="1" min="51" max="51" width="2.63"/>
    <col customWidth="1" min="52" max="52" width="3.0"/>
    <col customWidth="1" min="53" max="53" width="13.13"/>
    <col customWidth="1" min="54" max="54" width="3.0"/>
    <col customWidth="1" min="55" max="55" width="16.25"/>
  </cols>
  <sheetData>
    <row r="1" ht="12.75" customHeight="1">
      <c r="A1" s="3"/>
      <c r="B1" s="3"/>
      <c r="C1" s="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3"/>
      <c r="AS1" s="3"/>
      <c r="AT1" s="3"/>
      <c r="AU1" s="3"/>
      <c r="AV1" s="3"/>
      <c r="AW1" s="84"/>
      <c r="AX1" s="85"/>
      <c r="AY1" s="3"/>
      <c r="AZ1" s="3"/>
      <c r="BA1" s="3"/>
      <c r="BB1" s="3"/>
      <c r="BC1" s="3"/>
    </row>
    <row r="2" ht="12.75" customHeight="1">
      <c r="A2" s="86" t="s">
        <v>43</v>
      </c>
      <c r="B2" s="87" t="s">
        <v>44</v>
      </c>
      <c r="C2" s="88" t="s">
        <v>45</v>
      </c>
      <c r="D2" s="89" t="s">
        <v>48</v>
      </c>
      <c r="E2" s="90"/>
      <c r="F2" s="90"/>
      <c r="G2" s="9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1"/>
      <c r="T2" s="89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1"/>
      <c r="AJ2" s="89"/>
      <c r="AK2" s="140"/>
      <c r="AL2" s="140"/>
      <c r="AM2" s="140"/>
      <c r="AN2" s="140"/>
      <c r="AO2" s="140"/>
      <c r="AP2" s="140"/>
      <c r="AQ2" s="141"/>
      <c r="AR2" s="92" t="s">
        <v>49</v>
      </c>
      <c r="AS2" s="93" t="s">
        <v>50</v>
      </c>
      <c r="AT2" s="93" t="s">
        <v>51</v>
      </c>
      <c r="AU2" s="93" t="s">
        <v>52</v>
      </c>
      <c r="AV2" s="3"/>
      <c r="AW2" s="94" t="s">
        <v>53</v>
      </c>
      <c r="AX2" s="95" t="s">
        <v>54</v>
      </c>
      <c r="AY2" s="3"/>
      <c r="AZ2" s="3"/>
      <c r="BA2" s="95" t="s">
        <v>55</v>
      </c>
      <c r="BB2" s="3"/>
      <c r="BC2" s="95" t="s">
        <v>56</v>
      </c>
    </row>
    <row r="3" ht="12.75" customHeight="1">
      <c r="A3" s="96"/>
      <c r="B3" s="69"/>
      <c r="C3" s="97" t="s">
        <v>57</v>
      </c>
      <c r="D3" s="98">
        <v>26.0</v>
      </c>
      <c r="E3" s="98">
        <v>26.0</v>
      </c>
      <c r="F3" s="98">
        <v>26.0</v>
      </c>
      <c r="G3" s="98">
        <v>26.0</v>
      </c>
      <c r="H3" s="98">
        <v>10.0</v>
      </c>
      <c r="I3" s="98">
        <v>10.0</v>
      </c>
      <c r="J3" s="98">
        <v>10.0</v>
      </c>
      <c r="K3" s="98">
        <v>10.0</v>
      </c>
      <c r="L3" s="98">
        <v>17.0</v>
      </c>
      <c r="M3" s="98">
        <v>17.0</v>
      </c>
      <c r="N3" s="98">
        <v>17.0</v>
      </c>
      <c r="O3" s="98">
        <v>17.0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43"/>
      <c r="AS3" s="99"/>
      <c r="AT3" s="99"/>
      <c r="AU3" s="99"/>
      <c r="AV3" s="3"/>
      <c r="AW3" s="99"/>
      <c r="AX3" s="99"/>
      <c r="AY3" s="3"/>
      <c r="AZ3" s="3"/>
      <c r="BA3" s="99"/>
      <c r="BB3" s="3"/>
      <c r="BC3" s="99"/>
    </row>
    <row r="4" ht="12.75" customHeight="1">
      <c r="A4" s="100">
        <v>1.0</v>
      </c>
      <c r="B4" s="101" t="s">
        <v>58</v>
      </c>
      <c r="C4" s="102"/>
      <c r="D4" s="103" t="s">
        <v>60</v>
      </c>
      <c r="E4" s="103" t="s">
        <v>60</v>
      </c>
      <c r="F4" s="103" t="s">
        <v>60</v>
      </c>
      <c r="G4" s="103" t="s">
        <v>60</v>
      </c>
      <c r="H4" s="103" t="s">
        <v>60</v>
      </c>
      <c r="I4" s="103" t="s">
        <v>60</v>
      </c>
      <c r="J4" s="103" t="s">
        <v>60</v>
      </c>
      <c r="K4" s="103" t="s">
        <v>60</v>
      </c>
      <c r="L4" s="103" t="s">
        <v>60</v>
      </c>
      <c r="M4" s="103" t="s">
        <v>60</v>
      </c>
      <c r="N4" s="103" t="s">
        <v>60</v>
      </c>
      <c r="O4" s="103" t="s">
        <v>60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4">
        <f t="shared" ref="AR4:AR27" si="1">COUNTIF(D4:AQ4,"|")</f>
        <v>12</v>
      </c>
      <c r="AS4" s="104"/>
      <c r="AT4" s="104">
        <v>1.0</v>
      </c>
      <c r="AU4" s="105"/>
      <c r="AV4" s="3"/>
      <c r="AW4" s="106">
        <f>IF(AR4=" "," ",AR4/BC4)</f>
        <v>0.075</v>
      </c>
      <c r="AX4" s="97" t="str">
        <f t="shared" ref="AX4:AX34" si="2">IF(AW4&gt;25%,"ESTOURADO","NORMAL ")</f>
        <v>NORMAL </v>
      </c>
      <c r="AY4" s="3"/>
      <c r="AZ4" s="3"/>
      <c r="BA4" s="106">
        <f>AVERAGE(AW4:AW34)</f>
        <v>0.02741935484</v>
      </c>
      <c r="BB4" s="3"/>
      <c r="BC4" s="97">
        <v>160.0</v>
      </c>
    </row>
    <row r="5" ht="12.75" customHeight="1">
      <c r="A5" s="100">
        <v>2.0</v>
      </c>
      <c r="B5" s="101" t="s">
        <v>61</v>
      </c>
      <c r="C5" s="107"/>
      <c r="D5" s="103" t="s">
        <v>59</v>
      </c>
      <c r="E5" s="103" t="s">
        <v>59</v>
      </c>
      <c r="F5" s="103" t="s">
        <v>59</v>
      </c>
      <c r="G5" s="103" t="s">
        <v>59</v>
      </c>
      <c r="H5" s="103" t="s">
        <v>59</v>
      </c>
      <c r="I5" s="103" t="s">
        <v>59</v>
      </c>
      <c r="J5" s="103" t="s">
        <v>59</v>
      </c>
      <c r="K5" s="103" t="s">
        <v>59</v>
      </c>
      <c r="L5" s="103" t="s">
        <v>59</v>
      </c>
      <c r="M5" s="103" t="s">
        <v>59</v>
      </c>
      <c r="N5" s="103" t="s">
        <v>59</v>
      </c>
      <c r="O5" s="103" t="s">
        <v>59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4">
        <f t="shared" si="1"/>
        <v>0</v>
      </c>
      <c r="AS5" s="104"/>
      <c r="AT5" s="104">
        <v>2.0</v>
      </c>
      <c r="AU5" s="105"/>
      <c r="AV5" s="3"/>
      <c r="AW5" s="106">
        <f>IF(AR5=" "," ",AR5/BC4)</f>
        <v>0</v>
      </c>
      <c r="AX5" s="97" t="str">
        <f t="shared" si="2"/>
        <v>NORMAL </v>
      </c>
      <c r="AY5" s="3"/>
      <c r="AZ5" s="3"/>
      <c r="BA5" s="3"/>
      <c r="BB5" s="3"/>
      <c r="BC5" s="3"/>
    </row>
    <row r="6" ht="12.75" customHeight="1">
      <c r="A6" s="108">
        <v>3.0</v>
      </c>
      <c r="B6" s="101" t="s">
        <v>62</v>
      </c>
      <c r="C6" s="107"/>
      <c r="D6" s="103" t="s">
        <v>59</v>
      </c>
      <c r="E6" s="103" t="s">
        <v>59</v>
      </c>
      <c r="F6" s="103" t="s">
        <v>59</v>
      </c>
      <c r="G6" s="103" t="s">
        <v>59</v>
      </c>
      <c r="H6" s="103" t="s">
        <v>59</v>
      </c>
      <c r="I6" s="103" t="s">
        <v>59</v>
      </c>
      <c r="J6" s="103" t="s">
        <v>59</v>
      </c>
      <c r="K6" s="103" t="s">
        <v>59</v>
      </c>
      <c r="L6" s="103" t="s">
        <v>60</v>
      </c>
      <c r="M6" s="103" t="s">
        <v>60</v>
      </c>
      <c r="N6" s="103" t="s">
        <v>60</v>
      </c>
      <c r="O6" s="103" t="s">
        <v>60</v>
      </c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4">
        <f t="shared" si="1"/>
        <v>4</v>
      </c>
      <c r="AS6" s="104"/>
      <c r="AT6" s="104">
        <v>3.0</v>
      </c>
      <c r="AU6" s="105"/>
      <c r="AV6" s="3"/>
      <c r="AW6" s="106">
        <f>IF(AR6=" "," ",AR6/BC4)</f>
        <v>0.025</v>
      </c>
      <c r="AX6" s="97" t="str">
        <f t="shared" si="2"/>
        <v>NORMAL </v>
      </c>
      <c r="AY6" s="3"/>
      <c r="AZ6" s="3"/>
      <c r="BA6" s="3"/>
      <c r="BB6" s="3"/>
      <c r="BC6" s="3"/>
    </row>
    <row r="7" ht="12.75" customHeight="1">
      <c r="A7" s="100">
        <v>4.0</v>
      </c>
      <c r="B7" s="101" t="s">
        <v>63</v>
      </c>
      <c r="C7" s="107"/>
      <c r="D7" s="103" t="s">
        <v>59</v>
      </c>
      <c r="E7" s="103" t="s">
        <v>59</v>
      </c>
      <c r="F7" s="103" t="s">
        <v>59</v>
      </c>
      <c r="G7" s="103" t="s">
        <v>59</v>
      </c>
      <c r="H7" s="103" t="s">
        <v>59</v>
      </c>
      <c r="I7" s="103" t="s">
        <v>59</v>
      </c>
      <c r="J7" s="103" t="s">
        <v>59</v>
      </c>
      <c r="K7" s="103" t="s">
        <v>59</v>
      </c>
      <c r="L7" s="103" t="s">
        <v>59</v>
      </c>
      <c r="M7" s="103" t="s">
        <v>59</v>
      </c>
      <c r="N7" s="103" t="s">
        <v>59</v>
      </c>
      <c r="O7" s="103" t="s">
        <v>59</v>
      </c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4">
        <f t="shared" si="1"/>
        <v>0</v>
      </c>
      <c r="AS7" s="104"/>
      <c r="AT7" s="104">
        <v>4.0</v>
      </c>
      <c r="AU7" s="105"/>
      <c r="AV7" s="3"/>
      <c r="AW7" s="106">
        <f>IF(AR7=" "," ",AR7/BC4)</f>
        <v>0</v>
      </c>
      <c r="AX7" s="97" t="str">
        <f t="shared" si="2"/>
        <v>NORMAL </v>
      </c>
      <c r="AY7" s="3"/>
      <c r="AZ7" s="3"/>
      <c r="BA7" s="3"/>
      <c r="BB7" s="3"/>
      <c r="BC7" s="3"/>
    </row>
    <row r="8" ht="12.75" customHeight="1">
      <c r="A8" s="100">
        <v>5.0</v>
      </c>
      <c r="B8" s="101" t="s">
        <v>64</v>
      </c>
      <c r="C8" s="107"/>
      <c r="D8" s="103" t="s">
        <v>60</v>
      </c>
      <c r="E8" s="103" t="s">
        <v>60</v>
      </c>
      <c r="F8" s="103" t="s">
        <v>60</v>
      </c>
      <c r="G8" s="103" t="s">
        <v>60</v>
      </c>
      <c r="H8" s="103" t="s">
        <v>60</v>
      </c>
      <c r="I8" s="103" t="s">
        <v>60</v>
      </c>
      <c r="J8" s="103" t="s">
        <v>60</v>
      </c>
      <c r="K8" s="103" t="s">
        <v>60</v>
      </c>
      <c r="L8" s="103" t="s">
        <v>60</v>
      </c>
      <c r="M8" s="103" t="s">
        <v>60</v>
      </c>
      <c r="N8" s="103" t="s">
        <v>60</v>
      </c>
      <c r="O8" s="103" t="s">
        <v>60</v>
      </c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4">
        <f t="shared" si="1"/>
        <v>12</v>
      </c>
      <c r="AS8" s="104"/>
      <c r="AT8" s="104">
        <v>5.0</v>
      </c>
      <c r="AU8" s="105"/>
      <c r="AV8" s="3"/>
      <c r="AW8" s="106">
        <f>IF(AR8=" "," ",AR8/BC4)</f>
        <v>0.075</v>
      </c>
      <c r="AX8" s="97" t="str">
        <f t="shared" si="2"/>
        <v>NORMAL </v>
      </c>
      <c r="AY8" s="3"/>
      <c r="AZ8" s="3"/>
      <c r="BA8" s="3"/>
      <c r="BB8" s="3"/>
      <c r="BC8" s="3"/>
    </row>
    <row r="9" ht="12.75" customHeight="1">
      <c r="A9" s="108">
        <v>6.0</v>
      </c>
      <c r="B9" s="101" t="s">
        <v>65</v>
      </c>
      <c r="C9" s="107"/>
      <c r="D9" s="103" t="s">
        <v>59</v>
      </c>
      <c r="E9" s="103" t="s">
        <v>59</v>
      </c>
      <c r="F9" s="103" t="s">
        <v>59</v>
      </c>
      <c r="G9" s="103" t="s">
        <v>59</v>
      </c>
      <c r="H9" s="103" t="s">
        <v>59</v>
      </c>
      <c r="I9" s="103" t="s">
        <v>59</v>
      </c>
      <c r="J9" s="103" t="s">
        <v>59</v>
      </c>
      <c r="K9" s="103" t="s">
        <v>59</v>
      </c>
      <c r="L9" s="103" t="s">
        <v>59</v>
      </c>
      <c r="M9" s="103" t="s">
        <v>59</v>
      </c>
      <c r="N9" s="103" t="s">
        <v>59</v>
      </c>
      <c r="O9" s="103" t="s">
        <v>59</v>
      </c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4">
        <f t="shared" si="1"/>
        <v>0</v>
      </c>
      <c r="AS9" s="104"/>
      <c r="AT9" s="104">
        <v>6.0</v>
      </c>
      <c r="AU9" s="105"/>
      <c r="AV9" s="3"/>
      <c r="AW9" s="106">
        <f>IF(AR9=" "," ",AR9/BC4)</f>
        <v>0</v>
      </c>
      <c r="AX9" s="97" t="str">
        <f t="shared" si="2"/>
        <v>NORMAL </v>
      </c>
      <c r="AY9" s="3"/>
      <c r="AZ9" s="3"/>
      <c r="BA9" s="3"/>
      <c r="BB9" s="3"/>
      <c r="BC9" s="3"/>
    </row>
    <row r="10" ht="12.75" customHeight="1">
      <c r="A10" s="100">
        <v>7.0</v>
      </c>
      <c r="B10" s="101" t="s">
        <v>66</v>
      </c>
      <c r="C10" s="107"/>
      <c r="D10" s="103" t="s">
        <v>60</v>
      </c>
      <c r="E10" s="103" t="s">
        <v>60</v>
      </c>
      <c r="F10" s="103" t="s">
        <v>60</v>
      </c>
      <c r="G10" s="103" t="s">
        <v>60</v>
      </c>
      <c r="H10" s="103" t="s">
        <v>60</v>
      </c>
      <c r="I10" s="103" t="s">
        <v>60</v>
      </c>
      <c r="J10" s="103" t="s">
        <v>60</v>
      </c>
      <c r="K10" s="103" t="s">
        <v>60</v>
      </c>
      <c r="L10" s="103" t="s">
        <v>59</v>
      </c>
      <c r="M10" s="103" t="s">
        <v>59</v>
      </c>
      <c r="N10" s="103" t="s">
        <v>59</v>
      </c>
      <c r="O10" s="103" t="s">
        <v>59</v>
      </c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4">
        <f t="shared" si="1"/>
        <v>8</v>
      </c>
      <c r="AS10" s="104"/>
      <c r="AT10" s="104">
        <v>7.0</v>
      </c>
      <c r="AU10" s="105"/>
      <c r="AV10" s="3"/>
      <c r="AW10" s="106">
        <f>IF(AR10=" "," ",AR10/BC4)</f>
        <v>0.05</v>
      </c>
      <c r="AX10" s="97" t="str">
        <f t="shared" si="2"/>
        <v>NORMAL </v>
      </c>
      <c r="AY10" s="3"/>
      <c r="AZ10" s="3"/>
      <c r="BA10" s="3"/>
      <c r="BB10" s="3"/>
      <c r="BC10" s="3"/>
    </row>
    <row r="11" ht="12.75" customHeight="1">
      <c r="A11" s="100">
        <v>8.0</v>
      </c>
      <c r="B11" s="101" t="s">
        <v>67</v>
      </c>
      <c r="C11" s="107"/>
      <c r="D11" s="103" t="s">
        <v>60</v>
      </c>
      <c r="E11" s="103" t="s">
        <v>60</v>
      </c>
      <c r="F11" s="103" t="s">
        <v>60</v>
      </c>
      <c r="G11" s="103" t="s">
        <v>60</v>
      </c>
      <c r="H11" s="103" t="s">
        <v>59</v>
      </c>
      <c r="I11" s="103" t="s">
        <v>59</v>
      </c>
      <c r="J11" s="103" t="s">
        <v>59</v>
      </c>
      <c r="K11" s="103" t="s">
        <v>59</v>
      </c>
      <c r="L11" s="103" t="s">
        <v>59</v>
      </c>
      <c r="M11" s="103" t="s">
        <v>59</v>
      </c>
      <c r="N11" s="103" t="s">
        <v>59</v>
      </c>
      <c r="O11" s="103" t="s">
        <v>59</v>
      </c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4">
        <f t="shared" si="1"/>
        <v>4</v>
      </c>
      <c r="AS11" s="104"/>
      <c r="AT11" s="104">
        <v>8.0</v>
      </c>
      <c r="AU11" s="105"/>
      <c r="AV11" s="3"/>
      <c r="AW11" s="106">
        <f>IF(AR11=" "," ",AR11/BC4)</f>
        <v>0.025</v>
      </c>
      <c r="AX11" s="97" t="str">
        <f t="shared" si="2"/>
        <v>NORMAL </v>
      </c>
      <c r="AY11" s="3"/>
      <c r="AZ11" s="3"/>
      <c r="BA11" s="3"/>
      <c r="BB11" s="3"/>
      <c r="BC11" s="3"/>
    </row>
    <row r="12" ht="12.75" customHeight="1">
      <c r="A12" s="108">
        <v>9.0</v>
      </c>
      <c r="B12" s="101" t="s">
        <v>68</v>
      </c>
      <c r="C12" s="107"/>
      <c r="D12" s="103" t="s">
        <v>59</v>
      </c>
      <c r="E12" s="103" t="s">
        <v>59</v>
      </c>
      <c r="F12" s="103" t="s">
        <v>59</v>
      </c>
      <c r="G12" s="103" t="s">
        <v>59</v>
      </c>
      <c r="H12" s="103" t="s">
        <v>59</v>
      </c>
      <c r="I12" s="103" t="s">
        <v>59</v>
      </c>
      <c r="J12" s="103" t="s">
        <v>59</v>
      </c>
      <c r="K12" s="103" t="s">
        <v>59</v>
      </c>
      <c r="L12" s="103" t="s">
        <v>59</v>
      </c>
      <c r="M12" s="103" t="s">
        <v>59</v>
      </c>
      <c r="N12" s="103" t="s">
        <v>59</v>
      </c>
      <c r="O12" s="103" t="s">
        <v>59</v>
      </c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4">
        <f t="shared" si="1"/>
        <v>0</v>
      </c>
      <c r="AS12" s="104"/>
      <c r="AT12" s="104">
        <v>9.0</v>
      </c>
      <c r="AU12" s="105"/>
      <c r="AV12" s="3"/>
      <c r="AW12" s="106">
        <f>IF(AR12=" "," ",AR12/BC4)</f>
        <v>0</v>
      </c>
      <c r="AX12" s="97" t="str">
        <f t="shared" si="2"/>
        <v>NORMAL </v>
      </c>
      <c r="AY12" s="3"/>
      <c r="AZ12" s="3"/>
      <c r="BA12" s="3"/>
      <c r="BB12" s="3"/>
      <c r="BC12" s="3"/>
    </row>
    <row r="13" ht="12.75" customHeight="1">
      <c r="A13" s="100">
        <v>10.0</v>
      </c>
      <c r="B13" s="101" t="s">
        <v>69</v>
      </c>
      <c r="C13" s="107"/>
      <c r="D13" s="103" t="s">
        <v>60</v>
      </c>
      <c r="E13" s="103" t="s">
        <v>60</v>
      </c>
      <c r="F13" s="103" t="s">
        <v>60</v>
      </c>
      <c r="G13" s="103" t="s">
        <v>60</v>
      </c>
      <c r="H13" s="103" t="s">
        <v>60</v>
      </c>
      <c r="I13" s="103" t="s">
        <v>60</v>
      </c>
      <c r="J13" s="103" t="s">
        <v>60</v>
      </c>
      <c r="K13" s="103" t="s">
        <v>60</v>
      </c>
      <c r="L13" s="103" t="s">
        <v>60</v>
      </c>
      <c r="M13" s="103" t="s">
        <v>60</v>
      </c>
      <c r="N13" s="103" t="s">
        <v>60</v>
      </c>
      <c r="O13" s="103" t="s">
        <v>60</v>
      </c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4">
        <f t="shared" si="1"/>
        <v>12</v>
      </c>
      <c r="AS13" s="104"/>
      <c r="AT13" s="104">
        <v>10.0</v>
      </c>
      <c r="AU13" s="105"/>
      <c r="AV13" s="3"/>
      <c r="AW13" s="106">
        <f>IF(AR13=" "," ",AR13/BC4)</f>
        <v>0.075</v>
      </c>
      <c r="AX13" s="97" t="str">
        <f t="shared" si="2"/>
        <v>NORMAL </v>
      </c>
      <c r="AY13" s="3"/>
      <c r="AZ13" s="3"/>
      <c r="BA13" s="3"/>
      <c r="BB13" s="3"/>
      <c r="BC13" s="3"/>
    </row>
    <row r="14" ht="12.75" customHeight="1">
      <c r="A14" s="100">
        <v>11.0</v>
      </c>
      <c r="B14" s="101" t="s">
        <v>70</v>
      </c>
      <c r="C14" s="107"/>
      <c r="D14" s="103" t="s">
        <v>59</v>
      </c>
      <c r="E14" s="103" t="s">
        <v>59</v>
      </c>
      <c r="F14" s="103" t="s">
        <v>59</v>
      </c>
      <c r="G14" s="103" t="s">
        <v>59</v>
      </c>
      <c r="H14" s="103" t="s">
        <v>59</v>
      </c>
      <c r="I14" s="103" t="s">
        <v>59</v>
      </c>
      <c r="J14" s="103" t="s">
        <v>59</v>
      </c>
      <c r="K14" s="103" t="s">
        <v>59</v>
      </c>
      <c r="L14" s="103" t="s">
        <v>59</v>
      </c>
      <c r="M14" s="103" t="s">
        <v>59</v>
      </c>
      <c r="N14" s="103" t="s">
        <v>59</v>
      </c>
      <c r="O14" s="103" t="s">
        <v>59</v>
      </c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4">
        <f t="shared" si="1"/>
        <v>0</v>
      </c>
      <c r="AS14" s="104"/>
      <c r="AT14" s="104">
        <v>11.0</v>
      </c>
      <c r="AU14" s="105"/>
      <c r="AV14" s="3"/>
      <c r="AW14" s="106">
        <f>IF(AR14=" "," ",AR14/BC4)</f>
        <v>0</v>
      </c>
      <c r="AX14" s="97" t="str">
        <f t="shared" si="2"/>
        <v>NORMAL </v>
      </c>
      <c r="AY14" s="3"/>
      <c r="AZ14" s="3"/>
      <c r="BA14" s="3"/>
      <c r="BB14" s="3"/>
      <c r="BC14" s="3"/>
    </row>
    <row r="15" ht="12.75" customHeight="1">
      <c r="A15" s="100">
        <v>12.0</v>
      </c>
      <c r="B15" s="101" t="s">
        <v>71</v>
      </c>
      <c r="C15" s="107"/>
      <c r="D15" s="103" t="s">
        <v>59</v>
      </c>
      <c r="E15" s="103" t="s">
        <v>59</v>
      </c>
      <c r="F15" s="103" t="s">
        <v>59</v>
      </c>
      <c r="G15" s="103" t="s">
        <v>59</v>
      </c>
      <c r="H15" s="103" t="s">
        <v>59</v>
      </c>
      <c r="I15" s="103" t="s">
        <v>59</v>
      </c>
      <c r="J15" s="103" t="s">
        <v>59</v>
      </c>
      <c r="K15" s="103" t="s">
        <v>59</v>
      </c>
      <c r="L15" s="103" t="s">
        <v>59</v>
      </c>
      <c r="M15" s="103" t="s">
        <v>59</v>
      </c>
      <c r="N15" s="103" t="s">
        <v>59</v>
      </c>
      <c r="O15" s="103" t="s">
        <v>59</v>
      </c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4">
        <f t="shared" si="1"/>
        <v>0</v>
      </c>
      <c r="AS15" s="104"/>
      <c r="AT15" s="104">
        <v>12.0</v>
      </c>
      <c r="AU15" s="105"/>
      <c r="AV15" s="3"/>
      <c r="AW15" s="106">
        <f>IF(AR15=" "," ",AR15/BC4)</f>
        <v>0</v>
      </c>
      <c r="AX15" s="97" t="str">
        <f t="shared" si="2"/>
        <v>NORMAL </v>
      </c>
      <c r="AY15" s="3"/>
      <c r="AZ15" s="3"/>
      <c r="BA15" s="3"/>
      <c r="BB15" s="3"/>
      <c r="BC15" s="3"/>
    </row>
    <row r="16" ht="12.75" customHeight="1">
      <c r="A16" s="108">
        <v>13.0</v>
      </c>
      <c r="B16" s="101" t="s">
        <v>72</v>
      </c>
      <c r="C16" s="107"/>
      <c r="D16" s="103" t="s">
        <v>60</v>
      </c>
      <c r="E16" s="103" t="s">
        <v>60</v>
      </c>
      <c r="F16" s="103" t="s">
        <v>60</v>
      </c>
      <c r="G16" s="103" t="s">
        <v>60</v>
      </c>
      <c r="H16" s="103" t="s">
        <v>59</v>
      </c>
      <c r="I16" s="103" t="s">
        <v>59</v>
      </c>
      <c r="J16" s="103" t="s">
        <v>59</v>
      </c>
      <c r="K16" s="103" t="s">
        <v>59</v>
      </c>
      <c r="L16" s="103" t="s">
        <v>59</v>
      </c>
      <c r="M16" s="103" t="s">
        <v>59</v>
      </c>
      <c r="N16" s="103" t="s">
        <v>59</v>
      </c>
      <c r="O16" s="103" t="s">
        <v>59</v>
      </c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4">
        <f t="shared" si="1"/>
        <v>4</v>
      </c>
      <c r="AS16" s="104"/>
      <c r="AT16" s="104">
        <v>13.0</v>
      </c>
      <c r="AU16" s="105"/>
      <c r="AV16" s="3"/>
      <c r="AW16" s="106">
        <f>IF(AR16=" "," ",AR16/BC4)</f>
        <v>0.025</v>
      </c>
      <c r="AX16" s="97" t="str">
        <f t="shared" si="2"/>
        <v>NORMAL </v>
      </c>
      <c r="AY16" s="3"/>
      <c r="BA16" s="3"/>
      <c r="BB16" s="3"/>
      <c r="BC16" s="3"/>
    </row>
    <row r="17" ht="12.75" customHeight="1">
      <c r="A17" s="100">
        <v>14.0</v>
      </c>
      <c r="B17" s="101" t="s">
        <v>73</v>
      </c>
      <c r="C17" s="107"/>
      <c r="D17" s="103" t="s">
        <v>59</v>
      </c>
      <c r="E17" s="103" t="s">
        <v>59</v>
      </c>
      <c r="F17" s="103" t="s">
        <v>59</v>
      </c>
      <c r="G17" s="103" t="s">
        <v>59</v>
      </c>
      <c r="H17" s="103" t="s">
        <v>59</v>
      </c>
      <c r="I17" s="103" t="s">
        <v>59</v>
      </c>
      <c r="J17" s="103" t="s">
        <v>59</v>
      </c>
      <c r="K17" s="103" t="s">
        <v>59</v>
      </c>
      <c r="L17" s="103" t="s">
        <v>59</v>
      </c>
      <c r="M17" s="103" t="s">
        <v>59</v>
      </c>
      <c r="N17" s="103" t="s">
        <v>59</v>
      </c>
      <c r="O17" s="103" t="s">
        <v>59</v>
      </c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4">
        <f t="shared" si="1"/>
        <v>0</v>
      </c>
      <c r="AS17" s="104"/>
      <c r="AT17" s="104">
        <v>14.0</v>
      </c>
      <c r="AU17" s="105"/>
      <c r="AV17" s="3"/>
      <c r="AW17" s="106">
        <f>IF(AR17=" "," ",AR17/BC4)</f>
        <v>0</v>
      </c>
      <c r="AX17" s="97" t="str">
        <f t="shared" si="2"/>
        <v>NORMAL </v>
      </c>
      <c r="AY17" s="3"/>
      <c r="AZ17" s="3"/>
      <c r="BA17" s="3"/>
      <c r="BB17" s="3"/>
      <c r="BC17" s="3"/>
    </row>
    <row r="18" ht="12.75" customHeight="1">
      <c r="A18" s="100">
        <v>15.0</v>
      </c>
      <c r="B18" s="101" t="s">
        <v>74</v>
      </c>
      <c r="C18" s="107"/>
      <c r="D18" s="103" t="s">
        <v>60</v>
      </c>
      <c r="E18" s="103" t="s">
        <v>60</v>
      </c>
      <c r="F18" s="103" t="s">
        <v>60</v>
      </c>
      <c r="G18" s="103" t="s">
        <v>60</v>
      </c>
      <c r="H18" s="103" t="s">
        <v>59</v>
      </c>
      <c r="I18" s="103" t="s">
        <v>59</v>
      </c>
      <c r="J18" s="103" t="s">
        <v>59</v>
      </c>
      <c r="K18" s="103" t="s">
        <v>59</v>
      </c>
      <c r="L18" s="103" t="s">
        <v>60</v>
      </c>
      <c r="M18" s="103" t="s">
        <v>60</v>
      </c>
      <c r="N18" s="103" t="s">
        <v>60</v>
      </c>
      <c r="O18" s="103" t="s">
        <v>60</v>
      </c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4">
        <f t="shared" si="1"/>
        <v>8</v>
      </c>
      <c r="AS18" s="104"/>
      <c r="AT18" s="104">
        <v>15.0</v>
      </c>
      <c r="AU18" s="105"/>
      <c r="AV18" s="3"/>
      <c r="AW18" s="106">
        <f>IF(AR18=" "," ",AR18/BC4)</f>
        <v>0.05</v>
      </c>
      <c r="AX18" s="97" t="str">
        <f t="shared" si="2"/>
        <v>NORMAL </v>
      </c>
      <c r="AY18" s="3"/>
      <c r="AZ18" s="3"/>
      <c r="BA18" s="3"/>
      <c r="BB18" s="3"/>
      <c r="BC18" s="3"/>
    </row>
    <row r="19" ht="12.75" customHeight="1">
      <c r="A19" s="108">
        <v>16.0</v>
      </c>
      <c r="B19" s="101" t="s">
        <v>75</v>
      </c>
      <c r="C19" s="107"/>
      <c r="D19" s="103" t="s">
        <v>59</v>
      </c>
      <c r="E19" s="103" t="s">
        <v>59</v>
      </c>
      <c r="F19" s="103" t="s">
        <v>59</v>
      </c>
      <c r="G19" s="103" t="s">
        <v>59</v>
      </c>
      <c r="H19" s="103" t="s">
        <v>59</v>
      </c>
      <c r="I19" s="103" t="s">
        <v>59</v>
      </c>
      <c r="J19" s="103" t="s">
        <v>59</v>
      </c>
      <c r="K19" s="103" t="s">
        <v>59</v>
      </c>
      <c r="L19" s="103" t="s">
        <v>60</v>
      </c>
      <c r="M19" s="103" t="s">
        <v>60</v>
      </c>
      <c r="N19" s="103" t="s">
        <v>60</v>
      </c>
      <c r="O19" s="103" t="s">
        <v>60</v>
      </c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4">
        <f t="shared" si="1"/>
        <v>4</v>
      </c>
      <c r="AS19" s="104"/>
      <c r="AT19" s="104">
        <v>16.0</v>
      </c>
      <c r="AU19" s="105"/>
      <c r="AV19" s="3"/>
      <c r="AW19" s="106">
        <f>IF(AR19=" "," ",AR19/BC4)</f>
        <v>0.025</v>
      </c>
      <c r="AX19" s="97" t="str">
        <f t="shared" si="2"/>
        <v>NORMAL </v>
      </c>
      <c r="AY19" s="3"/>
      <c r="AZ19" s="3"/>
      <c r="BA19" s="3"/>
      <c r="BB19" s="3"/>
      <c r="BC19" s="3"/>
    </row>
    <row r="20" ht="12.75" customHeight="1">
      <c r="A20" s="100">
        <v>17.0</v>
      </c>
      <c r="B20" s="142" t="s">
        <v>76</v>
      </c>
      <c r="C20" s="143"/>
      <c r="D20" s="144" t="s">
        <v>60</v>
      </c>
      <c r="E20" s="144" t="s">
        <v>60</v>
      </c>
      <c r="F20" s="144" t="s">
        <v>60</v>
      </c>
      <c r="G20" s="144" t="s">
        <v>60</v>
      </c>
      <c r="H20" s="144" t="s">
        <v>60</v>
      </c>
      <c r="I20" s="144" t="s">
        <v>60</v>
      </c>
      <c r="J20" s="144" t="s">
        <v>60</v>
      </c>
      <c r="K20" s="144" t="s">
        <v>60</v>
      </c>
      <c r="L20" s="144" t="s">
        <v>60</v>
      </c>
      <c r="M20" s="144" t="s">
        <v>60</v>
      </c>
      <c r="N20" s="144" t="s">
        <v>60</v>
      </c>
      <c r="O20" s="144" t="s">
        <v>60</v>
      </c>
      <c r="P20" s="144" t="s">
        <v>60</v>
      </c>
      <c r="Q20" s="144" t="s">
        <v>60</v>
      </c>
      <c r="R20" s="144" t="s">
        <v>60</v>
      </c>
      <c r="S20" s="144" t="s">
        <v>60</v>
      </c>
      <c r="T20" s="144" t="s">
        <v>60</v>
      </c>
      <c r="U20" s="144" t="s">
        <v>60</v>
      </c>
      <c r="V20" s="144" t="s">
        <v>60</v>
      </c>
      <c r="W20" s="144" t="s">
        <v>60</v>
      </c>
      <c r="X20" s="144" t="s">
        <v>60</v>
      </c>
      <c r="Y20" s="144" t="s">
        <v>60</v>
      </c>
      <c r="Z20" s="144" t="s">
        <v>60</v>
      </c>
      <c r="AA20" s="144" t="s">
        <v>60</v>
      </c>
      <c r="AB20" s="144" t="s">
        <v>60</v>
      </c>
      <c r="AC20" s="144" t="s">
        <v>60</v>
      </c>
      <c r="AD20" s="144" t="s">
        <v>60</v>
      </c>
      <c r="AE20" s="144" t="s">
        <v>60</v>
      </c>
      <c r="AF20" s="144" t="s">
        <v>60</v>
      </c>
      <c r="AG20" s="144" t="s">
        <v>60</v>
      </c>
      <c r="AH20" s="144" t="s">
        <v>60</v>
      </c>
      <c r="AI20" s="144" t="s">
        <v>60</v>
      </c>
      <c r="AJ20" s="144" t="s">
        <v>60</v>
      </c>
      <c r="AK20" s="144" t="s">
        <v>60</v>
      </c>
      <c r="AL20" s="144" t="s">
        <v>60</v>
      </c>
      <c r="AM20" s="144" t="s">
        <v>60</v>
      </c>
      <c r="AN20" s="144" t="s">
        <v>60</v>
      </c>
      <c r="AO20" s="144" t="s">
        <v>60</v>
      </c>
      <c r="AP20" s="144" t="s">
        <v>60</v>
      </c>
      <c r="AQ20" s="144" t="s">
        <v>60</v>
      </c>
      <c r="AR20" s="104">
        <f t="shared" si="1"/>
        <v>40</v>
      </c>
      <c r="AS20" s="104"/>
      <c r="AT20" s="104">
        <v>17.0</v>
      </c>
      <c r="AU20" s="105"/>
      <c r="AV20" s="3"/>
      <c r="AW20" s="106">
        <f>IF(AR20=" "," ",AR20/BC4)</f>
        <v>0.25</v>
      </c>
      <c r="AX20" s="97" t="str">
        <f t="shared" si="2"/>
        <v>NORMAL </v>
      </c>
      <c r="AY20" s="3"/>
      <c r="AZ20" s="3"/>
      <c r="BA20" s="3"/>
      <c r="BB20" s="3"/>
      <c r="BC20" s="3"/>
    </row>
    <row r="21" ht="12.75" customHeight="1">
      <c r="A21" s="100">
        <v>18.0</v>
      </c>
      <c r="B21" s="101" t="s">
        <v>77</v>
      </c>
      <c r="C21" s="107"/>
      <c r="D21" s="103" t="s">
        <v>59</v>
      </c>
      <c r="E21" s="103" t="s">
        <v>59</v>
      </c>
      <c r="F21" s="103" t="s">
        <v>59</v>
      </c>
      <c r="G21" s="103" t="s">
        <v>59</v>
      </c>
      <c r="H21" s="103" t="s">
        <v>60</v>
      </c>
      <c r="I21" s="103" t="s">
        <v>60</v>
      </c>
      <c r="J21" s="103" t="s">
        <v>60</v>
      </c>
      <c r="K21" s="103" t="s">
        <v>60</v>
      </c>
      <c r="L21" s="103" t="s">
        <v>59</v>
      </c>
      <c r="M21" s="103" t="s">
        <v>59</v>
      </c>
      <c r="N21" s="103" t="s">
        <v>59</v>
      </c>
      <c r="O21" s="103" t="s">
        <v>59</v>
      </c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4">
        <f t="shared" si="1"/>
        <v>4</v>
      </c>
      <c r="AS21" s="104"/>
      <c r="AT21" s="104">
        <v>18.0</v>
      </c>
      <c r="AU21" s="105"/>
      <c r="AV21" s="3"/>
      <c r="AW21" s="106">
        <f>IF(AR21=" "," ",AR21/BC4)</f>
        <v>0.025</v>
      </c>
      <c r="AX21" s="97" t="str">
        <f t="shared" si="2"/>
        <v>NORMAL </v>
      </c>
      <c r="AY21" s="3"/>
      <c r="AZ21" s="3"/>
      <c r="BA21" s="3"/>
      <c r="BB21" s="3"/>
      <c r="BC21" s="3"/>
    </row>
    <row r="22" ht="12.75" customHeight="1">
      <c r="A22" s="108">
        <v>19.0</v>
      </c>
      <c r="B22" s="101" t="s">
        <v>78</v>
      </c>
      <c r="C22" s="107"/>
      <c r="D22" s="103" t="s">
        <v>59</v>
      </c>
      <c r="E22" s="103" t="s">
        <v>59</v>
      </c>
      <c r="F22" s="103" t="s">
        <v>59</v>
      </c>
      <c r="G22" s="103" t="s">
        <v>59</v>
      </c>
      <c r="H22" s="103" t="s">
        <v>59</v>
      </c>
      <c r="I22" s="103" t="s">
        <v>59</v>
      </c>
      <c r="J22" s="103" t="s">
        <v>59</v>
      </c>
      <c r="K22" s="103" t="s">
        <v>59</v>
      </c>
      <c r="L22" s="103" t="s">
        <v>60</v>
      </c>
      <c r="M22" s="103" t="s">
        <v>60</v>
      </c>
      <c r="N22" s="103" t="s">
        <v>60</v>
      </c>
      <c r="O22" s="103" t="s">
        <v>60</v>
      </c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4">
        <f t="shared" si="1"/>
        <v>4</v>
      </c>
      <c r="AS22" s="104"/>
      <c r="AT22" s="104">
        <v>19.0</v>
      </c>
      <c r="AU22" s="105"/>
      <c r="AV22" s="3"/>
      <c r="AW22" s="106">
        <f>IF(AR22=" "," ",AR22/BC4)</f>
        <v>0.025</v>
      </c>
      <c r="AX22" s="97" t="str">
        <f t="shared" si="2"/>
        <v>NORMAL </v>
      </c>
      <c r="AY22" s="3"/>
      <c r="AZ22" s="3"/>
      <c r="BA22" s="3"/>
      <c r="BB22" s="3"/>
      <c r="BC22" s="3"/>
    </row>
    <row r="23" ht="12.75" customHeight="1">
      <c r="A23" s="100">
        <v>20.0</v>
      </c>
      <c r="B23" s="101" t="s">
        <v>79</v>
      </c>
      <c r="C23" s="107"/>
      <c r="D23" s="103" t="s">
        <v>59</v>
      </c>
      <c r="E23" s="103" t="s">
        <v>59</v>
      </c>
      <c r="F23" s="103" t="s">
        <v>59</v>
      </c>
      <c r="G23" s="103" t="s">
        <v>59</v>
      </c>
      <c r="H23" s="103" t="s">
        <v>59</v>
      </c>
      <c r="I23" s="103" t="s">
        <v>59</v>
      </c>
      <c r="J23" s="103" t="s">
        <v>59</v>
      </c>
      <c r="K23" s="103" t="s">
        <v>59</v>
      </c>
      <c r="L23" s="103" t="s">
        <v>60</v>
      </c>
      <c r="M23" s="103" t="s">
        <v>60</v>
      </c>
      <c r="N23" s="103" t="s">
        <v>60</v>
      </c>
      <c r="O23" s="103" t="s">
        <v>60</v>
      </c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4">
        <f t="shared" si="1"/>
        <v>4</v>
      </c>
      <c r="AS23" s="104"/>
      <c r="AT23" s="109">
        <v>20.0</v>
      </c>
      <c r="AU23" s="105"/>
      <c r="AV23" s="3"/>
      <c r="AW23" s="106">
        <f>IF(AR23=" "," ",AR23/BC4)</f>
        <v>0.025</v>
      </c>
      <c r="AX23" s="97" t="str">
        <f t="shared" si="2"/>
        <v>NORMAL </v>
      </c>
      <c r="AY23" s="3"/>
      <c r="AZ23" s="3"/>
      <c r="BA23" s="3"/>
      <c r="BB23" s="3"/>
      <c r="BC23" s="3"/>
    </row>
    <row r="24" ht="12.75" customHeight="1">
      <c r="A24" s="100">
        <v>21.0</v>
      </c>
      <c r="B24" s="101" t="s">
        <v>80</v>
      </c>
      <c r="C24" s="107"/>
      <c r="D24" s="103" t="s">
        <v>59</v>
      </c>
      <c r="E24" s="103" t="s">
        <v>59</v>
      </c>
      <c r="F24" s="103" t="s">
        <v>59</v>
      </c>
      <c r="G24" s="103" t="s">
        <v>59</v>
      </c>
      <c r="H24" s="103" t="s">
        <v>59</v>
      </c>
      <c r="I24" s="103" t="s">
        <v>59</v>
      </c>
      <c r="J24" s="103" t="s">
        <v>59</v>
      </c>
      <c r="K24" s="103" t="s">
        <v>59</v>
      </c>
      <c r="L24" s="103" t="s">
        <v>59</v>
      </c>
      <c r="M24" s="103" t="s">
        <v>59</v>
      </c>
      <c r="N24" s="103" t="s">
        <v>59</v>
      </c>
      <c r="O24" s="103" t="s">
        <v>59</v>
      </c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4">
        <f t="shared" si="1"/>
        <v>0</v>
      </c>
      <c r="AS24" s="104"/>
      <c r="AT24" s="109">
        <v>21.0</v>
      </c>
      <c r="AU24" s="105"/>
      <c r="AV24" s="3"/>
      <c r="AW24" s="106">
        <f>IF(AR24=" "," ",AR24/BC4)</f>
        <v>0</v>
      </c>
      <c r="AX24" s="97" t="str">
        <f t="shared" si="2"/>
        <v>NORMAL </v>
      </c>
      <c r="AY24" s="3"/>
      <c r="AZ24" s="3"/>
      <c r="BA24" s="3"/>
      <c r="BB24" s="3"/>
      <c r="BC24" s="3"/>
    </row>
    <row r="25" ht="12.75" customHeight="1">
      <c r="A25" s="108">
        <v>22.0</v>
      </c>
      <c r="B25" s="101" t="s">
        <v>81</v>
      </c>
      <c r="C25" s="107"/>
      <c r="D25" s="103" t="s">
        <v>59</v>
      </c>
      <c r="E25" s="103" t="s">
        <v>59</v>
      </c>
      <c r="F25" s="103" t="s">
        <v>59</v>
      </c>
      <c r="G25" s="103" t="s">
        <v>59</v>
      </c>
      <c r="H25" s="103" t="s">
        <v>59</v>
      </c>
      <c r="I25" s="103" t="s">
        <v>59</v>
      </c>
      <c r="J25" s="103" t="s">
        <v>59</v>
      </c>
      <c r="K25" s="103" t="s">
        <v>59</v>
      </c>
      <c r="L25" s="103" t="s">
        <v>60</v>
      </c>
      <c r="M25" s="103" t="s">
        <v>60</v>
      </c>
      <c r="N25" s="103" t="s">
        <v>60</v>
      </c>
      <c r="O25" s="103" t="s">
        <v>60</v>
      </c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4">
        <f t="shared" si="1"/>
        <v>4</v>
      </c>
      <c r="AS25" s="104"/>
      <c r="AT25" s="109">
        <v>22.0</v>
      </c>
      <c r="AU25" s="105"/>
      <c r="AV25" s="3"/>
      <c r="AW25" s="106">
        <f>IF(AR25=" "," ",AR25/BC4)</f>
        <v>0.025</v>
      </c>
      <c r="AX25" s="97" t="str">
        <f t="shared" si="2"/>
        <v>NORMAL </v>
      </c>
      <c r="AY25" s="3"/>
      <c r="AZ25" s="3"/>
      <c r="BA25" s="3"/>
      <c r="BB25" s="3"/>
      <c r="BC25" s="3"/>
    </row>
    <row r="26" ht="12.75" customHeight="1">
      <c r="A26" s="100">
        <v>23.0</v>
      </c>
      <c r="B26" s="101" t="s">
        <v>82</v>
      </c>
      <c r="C26" s="110"/>
      <c r="D26" s="103" t="s">
        <v>59</v>
      </c>
      <c r="E26" s="103" t="s">
        <v>59</v>
      </c>
      <c r="F26" s="103" t="s">
        <v>59</v>
      </c>
      <c r="G26" s="103" t="s">
        <v>59</v>
      </c>
      <c r="H26" s="103" t="s">
        <v>59</v>
      </c>
      <c r="I26" s="103" t="s">
        <v>59</v>
      </c>
      <c r="J26" s="103" t="s">
        <v>59</v>
      </c>
      <c r="K26" s="103" t="s">
        <v>59</v>
      </c>
      <c r="L26" s="103" t="s">
        <v>59</v>
      </c>
      <c r="M26" s="103" t="s">
        <v>59</v>
      </c>
      <c r="N26" s="103" t="s">
        <v>59</v>
      </c>
      <c r="O26" s="103" t="s">
        <v>59</v>
      </c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4">
        <f t="shared" si="1"/>
        <v>0</v>
      </c>
      <c r="AS26" s="104"/>
      <c r="AT26" s="109">
        <v>23.0</v>
      </c>
      <c r="AU26" s="105"/>
      <c r="AV26" s="3"/>
      <c r="AW26" s="106">
        <f>IF(AR26=" "," ",AR26/BC4)</f>
        <v>0</v>
      </c>
      <c r="AX26" s="97" t="str">
        <f t="shared" si="2"/>
        <v>NORMAL </v>
      </c>
      <c r="AY26" s="3"/>
      <c r="AZ26" s="3"/>
      <c r="BA26" s="3"/>
      <c r="BB26" s="3"/>
      <c r="BC26" s="3"/>
    </row>
    <row r="27" ht="12.75" customHeight="1">
      <c r="A27" s="100">
        <v>24.0</v>
      </c>
      <c r="B27" s="145" t="s">
        <v>83</v>
      </c>
      <c r="C27" s="146"/>
      <c r="D27" s="147" t="s">
        <v>60</v>
      </c>
      <c r="E27" s="147" t="s">
        <v>60</v>
      </c>
      <c r="F27" s="147" t="s">
        <v>60</v>
      </c>
      <c r="G27" s="147" t="s">
        <v>60</v>
      </c>
      <c r="H27" s="147" t="s">
        <v>60</v>
      </c>
      <c r="I27" s="147" t="s">
        <v>60</v>
      </c>
      <c r="J27" s="147" t="s">
        <v>60</v>
      </c>
      <c r="K27" s="147" t="s">
        <v>60</v>
      </c>
      <c r="L27" s="147" t="s">
        <v>60</v>
      </c>
      <c r="M27" s="147" t="s">
        <v>60</v>
      </c>
      <c r="N27" s="147" t="s">
        <v>60</v>
      </c>
      <c r="O27" s="147" t="s">
        <v>60</v>
      </c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04">
        <f t="shared" si="1"/>
        <v>12</v>
      </c>
      <c r="AS27" s="104"/>
      <c r="AT27" s="109">
        <v>24.0</v>
      </c>
      <c r="AU27" s="105"/>
      <c r="AV27" s="3"/>
      <c r="AW27" s="106">
        <f>IF(AR27=" "," ",AR27/BC4)</f>
        <v>0.075</v>
      </c>
      <c r="AX27" s="97" t="str">
        <f t="shared" si="2"/>
        <v>NORMAL </v>
      </c>
      <c r="AY27" s="3"/>
      <c r="AZ27" s="3"/>
      <c r="BA27" s="3"/>
      <c r="BB27" s="3"/>
      <c r="BC27" s="3"/>
    </row>
    <row r="28" ht="12.75" customHeight="1">
      <c r="A28" s="108">
        <v>25.0</v>
      </c>
      <c r="B28" s="111"/>
      <c r="C28" s="112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04"/>
      <c r="AS28" s="104"/>
      <c r="AT28" s="104"/>
      <c r="AU28" s="105"/>
      <c r="AV28" s="3"/>
      <c r="AW28" s="106">
        <f>IF(AR28=" "," ",AR28/BC4)</f>
        <v>0</v>
      </c>
      <c r="AX28" s="97" t="str">
        <f t="shared" si="2"/>
        <v>NORMAL </v>
      </c>
      <c r="AY28" s="3"/>
      <c r="AZ28" s="3"/>
      <c r="BA28" s="3"/>
      <c r="BB28" s="3"/>
      <c r="BC28" s="3"/>
    </row>
    <row r="29" ht="12.75" customHeight="1">
      <c r="A29" s="100">
        <v>26.0</v>
      </c>
      <c r="B29" s="111"/>
      <c r="C29" s="112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04"/>
      <c r="AS29" s="104"/>
      <c r="AT29" s="104"/>
      <c r="AU29" s="105"/>
      <c r="AV29" s="3"/>
      <c r="AW29" s="106">
        <f>IF(AR29=" "," ",AR29/BC4)</f>
        <v>0</v>
      </c>
      <c r="AX29" s="97" t="str">
        <f t="shared" si="2"/>
        <v>NORMAL </v>
      </c>
      <c r="AY29" s="3"/>
      <c r="AZ29" s="3"/>
      <c r="BA29" s="3"/>
      <c r="BB29" s="3"/>
      <c r="BC29" s="3"/>
    </row>
    <row r="30" ht="12.75" customHeight="1">
      <c r="A30" s="100">
        <v>27.0</v>
      </c>
      <c r="B30" s="111"/>
      <c r="C30" s="112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04"/>
      <c r="AS30" s="104"/>
      <c r="AT30" s="104"/>
      <c r="AU30" s="105"/>
      <c r="AV30" s="3"/>
      <c r="AW30" s="106">
        <f>IF(AR30=" "," ",AR30/BC4)</f>
        <v>0</v>
      </c>
      <c r="AX30" s="97" t="str">
        <f t="shared" si="2"/>
        <v>NORMAL </v>
      </c>
      <c r="AY30" s="3"/>
      <c r="AZ30" s="3"/>
      <c r="BA30" s="3"/>
      <c r="BB30" s="3"/>
      <c r="BC30" s="3"/>
    </row>
    <row r="31" ht="12.75" customHeight="1">
      <c r="A31" s="108">
        <v>28.0</v>
      </c>
      <c r="B31" s="111"/>
      <c r="C31" s="112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04"/>
      <c r="AS31" s="104"/>
      <c r="AT31" s="104"/>
      <c r="AU31" s="105"/>
      <c r="AV31" s="3"/>
      <c r="AW31" s="106">
        <f>IF(AR31=" "," ",AR31/BC4)</f>
        <v>0</v>
      </c>
      <c r="AX31" s="97" t="str">
        <f t="shared" si="2"/>
        <v>NORMAL </v>
      </c>
      <c r="AY31" s="3"/>
      <c r="AZ31" s="3"/>
      <c r="BA31" s="3"/>
      <c r="BB31" s="3"/>
      <c r="BC31" s="3"/>
    </row>
    <row r="32" ht="12.75" customHeight="1">
      <c r="A32" s="100">
        <v>29.0</v>
      </c>
      <c r="B32" s="111"/>
      <c r="C32" s="112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04"/>
      <c r="AS32" s="104"/>
      <c r="AT32" s="104"/>
      <c r="AU32" s="105"/>
      <c r="AV32" s="3"/>
      <c r="AW32" s="106">
        <f>IF(AR32=" "," ",AR32/BC4)</f>
        <v>0</v>
      </c>
      <c r="AX32" s="97" t="str">
        <f t="shared" si="2"/>
        <v>NORMAL </v>
      </c>
      <c r="AY32" s="3"/>
      <c r="AZ32" s="3"/>
      <c r="BA32" s="3"/>
      <c r="BB32" s="3"/>
      <c r="BC32" s="3"/>
    </row>
    <row r="33" ht="12.75" customHeight="1">
      <c r="A33" s="100">
        <v>30.0</v>
      </c>
      <c r="B33" s="111"/>
      <c r="C33" s="112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04"/>
      <c r="AS33" s="104"/>
      <c r="AT33" s="104"/>
      <c r="AU33" s="105"/>
      <c r="AV33" s="3"/>
      <c r="AW33" s="106">
        <f>IF(AR33=" "," ",AR33/BC4)</f>
        <v>0</v>
      </c>
      <c r="AX33" s="97" t="str">
        <f t="shared" si="2"/>
        <v>NORMAL </v>
      </c>
      <c r="AY33" s="3"/>
      <c r="AZ33" s="3"/>
      <c r="BA33" s="3"/>
      <c r="BB33" s="3"/>
      <c r="BC33" s="3"/>
    </row>
    <row r="34" ht="12.75" customHeight="1">
      <c r="A34" s="100"/>
      <c r="B34" s="114"/>
      <c r="C34" s="115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04"/>
      <c r="AS34" s="104"/>
      <c r="AT34" s="104"/>
      <c r="AU34" s="105"/>
      <c r="AV34" s="3"/>
      <c r="AW34" s="106">
        <f>IF(AR34=" "," ",AR34/BC4)</f>
        <v>0</v>
      </c>
      <c r="AX34" s="97" t="str">
        <f t="shared" si="2"/>
        <v>NORMAL </v>
      </c>
      <c r="AY34" s="3"/>
      <c r="AZ34" s="3"/>
      <c r="BA34" s="3"/>
      <c r="BB34" s="3"/>
      <c r="BC34" s="3"/>
    </row>
    <row r="35" ht="12.75" customHeight="1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8"/>
      <c r="AV35" s="3"/>
      <c r="AW35" s="84"/>
      <c r="AX35" s="85"/>
      <c r="AY35" s="3"/>
      <c r="AZ35" s="3"/>
      <c r="BA35" s="3"/>
      <c r="BB35" s="3"/>
      <c r="BC35" s="3"/>
    </row>
    <row r="36" ht="12.75" customHeight="1">
      <c r="A36" s="85"/>
      <c r="B36" s="85"/>
      <c r="C36" s="85"/>
      <c r="D36" s="8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85"/>
      <c r="AO36" s="85"/>
      <c r="AP36" s="85"/>
      <c r="AQ36" s="85"/>
      <c r="AR36" s="85"/>
      <c r="AS36" s="85"/>
      <c r="AT36" s="85"/>
      <c r="AU36" s="85"/>
      <c r="AV36" s="3"/>
      <c r="AW36" s="84"/>
      <c r="AX36" s="85"/>
      <c r="AY36" s="3"/>
      <c r="AZ36" s="3"/>
      <c r="BA36" s="3"/>
      <c r="BB36" s="3"/>
      <c r="BC36" s="3"/>
    </row>
    <row r="37" ht="12.75" customHeight="1">
      <c r="A37" s="119" t="s">
        <v>92</v>
      </c>
      <c r="B37" s="32"/>
      <c r="C37" s="32"/>
      <c r="D37" s="32"/>
      <c r="E37" s="32"/>
      <c r="F37" s="32"/>
      <c r="G37" s="32"/>
      <c r="H37" s="32"/>
      <c r="I37" s="120"/>
      <c r="J37" s="83"/>
      <c r="K37" s="12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120"/>
      <c r="W37" s="83"/>
      <c r="X37" s="121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120"/>
      <c r="AK37" s="85"/>
      <c r="AL37" s="121"/>
      <c r="AM37" s="32"/>
      <c r="AN37" s="32"/>
      <c r="AO37" s="32"/>
      <c r="AP37" s="32"/>
      <c r="AQ37" s="32"/>
      <c r="AR37" s="32"/>
      <c r="AS37" s="32"/>
      <c r="AT37" s="32"/>
      <c r="AU37" s="120"/>
      <c r="AV37" s="3"/>
      <c r="AW37" s="84"/>
      <c r="AX37" s="85"/>
      <c r="AY37" s="3"/>
      <c r="AZ37" s="3"/>
      <c r="BA37" s="3"/>
      <c r="BB37" s="3"/>
      <c r="BC37" s="3"/>
    </row>
    <row r="38" ht="12.75" customHeight="1">
      <c r="A38" s="122"/>
      <c r="B38" s="123"/>
      <c r="C38" s="123"/>
      <c r="D38" s="123"/>
      <c r="E38" s="123"/>
      <c r="F38" s="123"/>
      <c r="G38" s="123"/>
      <c r="H38" s="123"/>
      <c r="I38" s="124"/>
      <c r="J38" s="17"/>
      <c r="K38" s="125"/>
      <c r="V38" s="126"/>
      <c r="W38" s="17"/>
      <c r="X38" s="125"/>
      <c r="AJ38" s="126"/>
      <c r="AK38" s="85"/>
      <c r="AL38" s="125"/>
      <c r="AU38" s="126"/>
      <c r="AV38" s="3"/>
      <c r="AW38" s="84"/>
      <c r="AX38" s="85"/>
      <c r="AY38" s="3"/>
      <c r="AZ38" s="3"/>
      <c r="BA38" s="3"/>
      <c r="BB38" s="3"/>
      <c r="BC38" s="3"/>
    </row>
    <row r="39" ht="12.75" customHeight="1">
      <c r="A39" s="127" t="s">
        <v>85</v>
      </c>
      <c r="B39" s="128"/>
      <c r="C39" s="129"/>
      <c r="D39" s="130"/>
      <c r="E39" s="130"/>
      <c r="F39" s="130"/>
      <c r="G39" s="130"/>
      <c r="H39" s="130"/>
      <c r="I39" s="130"/>
      <c r="J39" s="17"/>
      <c r="K39" s="70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73"/>
      <c r="W39" s="17"/>
      <c r="X39" s="70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73"/>
      <c r="AK39" s="85"/>
      <c r="AL39" s="70"/>
      <c r="AM39" s="42"/>
      <c r="AN39" s="42"/>
      <c r="AO39" s="42"/>
      <c r="AP39" s="42"/>
      <c r="AQ39" s="42"/>
      <c r="AR39" s="42"/>
      <c r="AS39" s="42"/>
      <c r="AT39" s="42"/>
      <c r="AU39" s="73"/>
      <c r="AV39" s="3"/>
      <c r="AW39" s="84"/>
      <c r="AX39" s="85"/>
      <c r="AY39" s="3"/>
      <c r="AZ39" s="3"/>
      <c r="BA39" s="3"/>
      <c r="BB39" s="3"/>
      <c r="BC39" s="3"/>
    </row>
    <row r="40" ht="12.75" customHeight="1">
      <c r="A40" s="131" t="s">
        <v>86</v>
      </c>
      <c r="B40" s="132"/>
      <c r="C40" s="133"/>
      <c r="D40" s="134"/>
      <c r="E40" s="134"/>
      <c r="F40" s="134"/>
      <c r="G40" s="134"/>
      <c r="H40" s="134"/>
      <c r="I40" s="134"/>
      <c r="J40" s="17"/>
      <c r="K40" s="135" t="s">
        <v>87</v>
      </c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72"/>
      <c r="W40" s="17"/>
      <c r="X40" s="135" t="s">
        <v>88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72"/>
      <c r="AK40" s="85"/>
      <c r="AL40" s="135" t="s">
        <v>89</v>
      </c>
      <c r="AM40" s="61"/>
      <c r="AN40" s="61"/>
      <c r="AO40" s="61"/>
      <c r="AP40" s="61"/>
      <c r="AQ40" s="61"/>
      <c r="AR40" s="61"/>
      <c r="AS40" s="61"/>
      <c r="AT40" s="61"/>
      <c r="AU40" s="72"/>
      <c r="AV40" s="3"/>
      <c r="AW40" s="84"/>
      <c r="AX40" s="85"/>
      <c r="AY40" s="3"/>
      <c r="AZ40" s="3"/>
      <c r="BA40" s="3"/>
      <c r="BB40" s="3"/>
      <c r="BC40" s="3"/>
    </row>
    <row r="41" ht="12.75" customHeight="1">
      <c r="A41" s="136"/>
      <c r="B41" s="10"/>
      <c r="C41" s="10"/>
      <c r="D41" s="10"/>
      <c r="E41" s="10"/>
      <c r="F41" s="10"/>
      <c r="G41" s="10"/>
      <c r="H41" s="10"/>
      <c r="I41" s="11"/>
      <c r="J41" s="82"/>
      <c r="K41" s="122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4"/>
      <c r="W41" s="82"/>
      <c r="X41" s="122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4"/>
      <c r="AK41" s="85"/>
      <c r="AL41" s="122"/>
      <c r="AM41" s="123"/>
      <c r="AN41" s="123"/>
      <c r="AO41" s="123"/>
      <c r="AP41" s="123"/>
      <c r="AQ41" s="123"/>
      <c r="AR41" s="123"/>
      <c r="AS41" s="123"/>
      <c r="AT41" s="123"/>
      <c r="AU41" s="124"/>
      <c r="AV41" s="3"/>
      <c r="AW41" s="84"/>
      <c r="AX41" s="85"/>
      <c r="AY41" s="3"/>
      <c r="AZ41" s="3"/>
      <c r="BA41" s="3"/>
      <c r="BB41" s="3"/>
      <c r="BC41" s="3"/>
    </row>
    <row r="42" ht="12.75" customHeight="1">
      <c r="A42" s="137" t="s">
        <v>90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129"/>
      <c r="AV42" s="3"/>
      <c r="AW42" s="84"/>
      <c r="AX42" s="85"/>
      <c r="AY42" s="3"/>
      <c r="AZ42" s="3"/>
      <c r="BA42" s="3"/>
      <c r="BB42" s="3"/>
      <c r="BC42" s="3"/>
    </row>
    <row r="43" ht="12.75" customHeight="1">
      <c r="A43" s="138" t="s">
        <v>91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139"/>
      <c r="AV43" s="3"/>
      <c r="AW43" s="84"/>
      <c r="AX43" s="85"/>
      <c r="AY43" s="3"/>
      <c r="AZ43" s="3"/>
      <c r="BA43" s="3"/>
      <c r="BB43" s="3"/>
      <c r="BC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84"/>
      <c r="AX44" s="85"/>
      <c r="AY44" s="3"/>
      <c r="AZ44" s="3"/>
      <c r="BA44" s="3"/>
      <c r="BB44" s="3"/>
      <c r="BC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84"/>
      <c r="AX45" s="85"/>
      <c r="AY45" s="3"/>
      <c r="AZ45" s="3"/>
      <c r="BA45" s="3"/>
      <c r="BB45" s="3"/>
      <c r="BC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84"/>
      <c r="AX46" s="85"/>
      <c r="AY46" s="3"/>
      <c r="AZ46" s="3"/>
      <c r="BA46" s="3"/>
      <c r="BB46" s="3"/>
      <c r="BC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84"/>
      <c r="AX47" s="85"/>
      <c r="AY47" s="3"/>
      <c r="AZ47" s="3"/>
      <c r="BA47" s="3"/>
      <c r="BB47" s="3"/>
      <c r="BC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84"/>
      <c r="AX48" s="85"/>
      <c r="AY48" s="3"/>
      <c r="AZ48" s="3"/>
      <c r="BA48" s="3"/>
      <c r="BB48" s="3"/>
      <c r="BC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84"/>
      <c r="AX49" s="85"/>
      <c r="AY49" s="3"/>
      <c r="AZ49" s="3"/>
      <c r="BA49" s="3"/>
      <c r="BB49" s="3"/>
      <c r="BC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84"/>
      <c r="AX50" s="85"/>
      <c r="AY50" s="3"/>
      <c r="AZ50" s="3"/>
      <c r="BA50" s="3"/>
      <c r="BB50" s="3"/>
      <c r="BC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84"/>
      <c r="AX51" s="85"/>
      <c r="AY51" s="3"/>
      <c r="AZ51" s="3"/>
      <c r="BA51" s="3"/>
      <c r="BB51" s="3"/>
      <c r="BC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84"/>
      <c r="AX52" s="85"/>
      <c r="AY52" s="3"/>
      <c r="AZ52" s="3"/>
      <c r="BA52" s="3"/>
      <c r="BB52" s="3"/>
      <c r="BC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84"/>
      <c r="AX53" s="85"/>
      <c r="AY53" s="3"/>
      <c r="AZ53" s="3"/>
      <c r="BA53" s="3"/>
      <c r="BB53" s="3"/>
      <c r="BC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84"/>
      <c r="AX54" s="85"/>
      <c r="AY54" s="3"/>
      <c r="AZ54" s="3"/>
      <c r="BA54" s="3"/>
      <c r="BB54" s="3"/>
      <c r="BC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84"/>
      <c r="AX55" s="85"/>
      <c r="AY55" s="3"/>
      <c r="AZ55" s="3"/>
      <c r="BA55" s="3"/>
      <c r="BB55" s="3"/>
      <c r="BC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84"/>
      <c r="AX56" s="85"/>
      <c r="AY56" s="3"/>
      <c r="AZ56" s="3"/>
      <c r="BA56" s="3"/>
      <c r="BB56" s="3"/>
      <c r="BC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84"/>
      <c r="AX57" s="85"/>
      <c r="AY57" s="3"/>
      <c r="AZ57" s="3"/>
      <c r="BA57" s="3"/>
      <c r="BB57" s="3"/>
      <c r="BC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84"/>
      <c r="AX58" s="85"/>
      <c r="AY58" s="3"/>
      <c r="AZ58" s="3"/>
      <c r="BA58" s="3"/>
      <c r="BB58" s="3"/>
      <c r="BC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84"/>
      <c r="AX59" s="85"/>
      <c r="AY59" s="3"/>
      <c r="AZ59" s="3"/>
      <c r="BA59" s="3"/>
      <c r="BB59" s="3"/>
      <c r="BC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84"/>
      <c r="AX60" s="85"/>
      <c r="AY60" s="3"/>
      <c r="AZ60" s="3"/>
      <c r="BA60" s="3"/>
      <c r="BB60" s="3"/>
      <c r="BC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84"/>
      <c r="AX61" s="85"/>
      <c r="AY61" s="3"/>
      <c r="AZ61" s="3"/>
      <c r="BA61" s="3"/>
      <c r="BB61" s="3"/>
      <c r="BC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84"/>
      <c r="AX62" s="85"/>
      <c r="AY62" s="3"/>
      <c r="AZ62" s="3"/>
      <c r="BA62" s="3"/>
      <c r="BB62" s="3"/>
      <c r="BC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84"/>
      <c r="AX63" s="85"/>
      <c r="AY63" s="3"/>
      <c r="AZ63" s="3"/>
      <c r="BA63" s="3"/>
      <c r="BB63" s="3"/>
      <c r="BC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84"/>
      <c r="AX64" s="85"/>
      <c r="AY64" s="3"/>
      <c r="AZ64" s="3"/>
      <c r="BA64" s="3"/>
      <c r="BB64" s="3"/>
      <c r="BC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84"/>
      <c r="AX65" s="85"/>
      <c r="AY65" s="3"/>
      <c r="AZ65" s="3"/>
      <c r="BA65" s="3"/>
      <c r="BB65" s="3"/>
      <c r="BC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84"/>
      <c r="AX66" s="85"/>
      <c r="AY66" s="3"/>
      <c r="AZ66" s="3"/>
      <c r="BA66" s="3"/>
      <c r="BB66" s="3"/>
      <c r="BC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84"/>
      <c r="AX67" s="85"/>
      <c r="AY67" s="3"/>
      <c r="AZ67" s="3"/>
      <c r="BA67" s="3"/>
      <c r="BB67" s="3"/>
      <c r="BC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84"/>
      <c r="AX68" s="85"/>
      <c r="AY68" s="3"/>
      <c r="AZ68" s="3"/>
      <c r="BA68" s="3"/>
      <c r="BB68" s="3"/>
      <c r="BC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84"/>
      <c r="AX69" s="85"/>
      <c r="AY69" s="3"/>
      <c r="AZ69" s="3"/>
      <c r="BA69" s="3"/>
      <c r="BB69" s="3"/>
      <c r="BC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84"/>
      <c r="AX70" s="85"/>
      <c r="AY70" s="3"/>
      <c r="AZ70" s="3"/>
      <c r="BA70" s="3"/>
      <c r="BB70" s="3"/>
      <c r="BC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84"/>
      <c r="AX71" s="85"/>
      <c r="AY71" s="3"/>
      <c r="AZ71" s="3"/>
      <c r="BA71" s="3"/>
      <c r="BB71" s="3"/>
      <c r="BC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84"/>
      <c r="AX72" s="85"/>
      <c r="AY72" s="3"/>
      <c r="AZ72" s="3"/>
      <c r="BA72" s="3"/>
      <c r="BB72" s="3"/>
      <c r="BC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84"/>
      <c r="AX73" s="85"/>
      <c r="AY73" s="3"/>
      <c r="AZ73" s="3"/>
      <c r="BA73" s="3"/>
      <c r="BB73" s="3"/>
      <c r="BC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84"/>
      <c r="AX74" s="85"/>
      <c r="AY74" s="3"/>
      <c r="AZ74" s="3"/>
      <c r="BA74" s="3"/>
      <c r="BB74" s="3"/>
      <c r="BC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84"/>
      <c r="AX75" s="85"/>
      <c r="AY75" s="3"/>
      <c r="AZ75" s="3"/>
      <c r="BA75" s="3"/>
      <c r="BB75" s="3"/>
      <c r="BC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84"/>
      <c r="AX76" s="85"/>
      <c r="AY76" s="3"/>
      <c r="AZ76" s="3"/>
      <c r="BA76" s="3"/>
      <c r="BB76" s="3"/>
      <c r="BC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84"/>
      <c r="AX77" s="85"/>
      <c r="AY77" s="3"/>
      <c r="AZ77" s="3"/>
      <c r="BA77" s="3"/>
      <c r="BB77" s="3"/>
      <c r="BC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84"/>
      <c r="AX78" s="85"/>
      <c r="AY78" s="3"/>
      <c r="AZ78" s="3"/>
      <c r="BA78" s="3"/>
      <c r="BB78" s="3"/>
      <c r="BC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84"/>
      <c r="AX79" s="85"/>
      <c r="AY79" s="3"/>
      <c r="AZ79" s="3"/>
      <c r="BA79" s="3"/>
      <c r="BB79" s="3"/>
      <c r="BC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84"/>
      <c r="AX80" s="85"/>
      <c r="AY80" s="3"/>
      <c r="AZ80" s="3"/>
      <c r="BA80" s="3"/>
      <c r="BB80" s="3"/>
      <c r="BC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84"/>
      <c r="AX81" s="85"/>
      <c r="AY81" s="3"/>
      <c r="AZ81" s="3"/>
      <c r="BA81" s="3"/>
      <c r="BB81" s="3"/>
      <c r="BC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84"/>
      <c r="AX82" s="85"/>
      <c r="AY82" s="3"/>
      <c r="AZ82" s="3"/>
      <c r="BA82" s="3"/>
      <c r="BB82" s="3"/>
      <c r="BC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84"/>
      <c r="AX83" s="85"/>
      <c r="AY83" s="3"/>
      <c r="AZ83" s="3"/>
      <c r="BA83" s="3"/>
      <c r="BB83" s="3"/>
      <c r="BC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84"/>
      <c r="AX84" s="85"/>
      <c r="AY84" s="3"/>
      <c r="AZ84" s="3"/>
      <c r="BA84" s="3"/>
      <c r="BB84" s="3"/>
      <c r="BC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84"/>
      <c r="AX85" s="85"/>
      <c r="AY85" s="3"/>
      <c r="AZ85" s="3"/>
      <c r="BA85" s="3"/>
      <c r="BB85" s="3"/>
      <c r="BC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84"/>
      <c r="AX86" s="85"/>
      <c r="AY86" s="3"/>
      <c r="AZ86" s="3"/>
      <c r="BA86" s="3"/>
      <c r="BB86" s="3"/>
      <c r="BC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84"/>
      <c r="AX87" s="85"/>
      <c r="AY87" s="3"/>
      <c r="AZ87" s="3"/>
      <c r="BA87" s="3"/>
      <c r="BB87" s="3"/>
      <c r="BC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84"/>
      <c r="AX88" s="85"/>
      <c r="AY88" s="3"/>
      <c r="AZ88" s="3"/>
      <c r="BA88" s="3"/>
      <c r="BB88" s="3"/>
      <c r="BC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84"/>
      <c r="AX89" s="85"/>
      <c r="AY89" s="3"/>
      <c r="AZ89" s="3"/>
      <c r="BA89" s="3"/>
      <c r="BB89" s="3"/>
      <c r="BC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84"/>
      <c r="AX90" s="85"/>
      <c r="AY90" s="3"/>
      <c r="AZ90" s="3"/>
      <c r="BA90" s="3"/>
      <c r="BB90" s="3"/>
      <c r="BC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84"/>
      <c r="AX91" s="85"/>
      <c r="AY91" s="3"/>
      <c r="AZ91" s="3"/>
      <c r="BA91" s="3"/>
      <c r="BB91" s="3"/>
      <c r="BC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84"/>
      <c r="AX92" s="85"/>
      <c r="AY92" s="3"/>
      <c r="AZ92" s="3"/>
      <c r="BA92" s="3"/>
      <c r="BB92" s="3"/>
      <c r="BC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84"/>
      <c r="AX93" s="85"/>
      <c r="AY93" s="3"/>
      <c r="AZ93" s="3"/>
      <c r="BA93" s="3"/>
      <c r="BB93" s="3"/>
      <c r="BC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84"/>
      <c r="AX94" s="85"/>
      <c r="AY94" s="3"/>
      <c r="AZ94" s="3"/>
      <c r="BA94" s="3"/>
      <c r="BB94" s="3"/>
      <c r="BC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84"/>
      <c r="AX95" s="85"/>
      <c r="AY95" s="3"/>
      <c r="AZ95" s="3"/>
      <c r="BA95" s="3"/>
      <c r="BB95" s="3"/>
      <c r="BC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84"/>
      <c r="AX96" s="85"/>
      <c r="AY96" s="3"/>
      <c r="AZ96" s="3"/>
      <c r="BA96" s="3"/>
      <c r="BB96" s="3"/>
      <c r="BC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84"/>
      <c r="AX97" s="85"/>
      <c r="AY97" s="3"/>
      <c r="AZ97" s="3"/>
      <c r="BA97" s="3"/>
      <c r="BB97" s="3"/>
      <c r="BC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84"/>
      <c r="AX98" s="85"/>
      <c r="AY98" s="3"/>
      <c r="AZ98" s="3"/>
      <c r="BA98" s="3"/>
      <c r="BB98" s="3"/>
      <c r="BC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84"/>
      <c r="AX99" s="85"/>
      <c r="AY99" s="3"/>
      <c r="AZ99" s="3"/>
      <c r="BA99" s="3"/>
      <c r="BB99" s="3"/>
      <c r="BC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84"/>
      <c r="AX100" s="85"/>
      <c r="AY100" s="3"/>
      <c r="AZ100" s="3"/>
      <c r="BA100" s="3"/>
      <c r="BB100" s="3"/>
      <c r="BC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84"/>
      <c r="AX101" s="85"/>
      <c r="AY101" s="3"/>
      <c r="AZ101" s="3"/>
      <c r="BA101" s="3"/>
      <c r="BB101" s="3"/>
      <c r="BC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84"/>
      <c r="AX102" s="85"/>
      <c r="AY102" s="3"/>
      <c r="AZ102" s="3"/>
      <c r="BA102" s="3"/>
      <c r="BB102" s="3"/>
      <c r="BC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84"/>
      <c r="AX103" s="85"/>
      <c r="AY103" s="3"/>
      <c r="AZ103" s="3"/>
      <c r="BA103" s="3"/>
      <c r="BB103" s="3"/>
      <c r="BC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84"/>
      <c r="AX104" s="85"/>
      <c r="AY104" s="3"/>
      <c r="AZ104" s="3"/>
      <c r="BA104" s="3"/>
      <c r="BB104" s="3"/>
      <c r="BC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84"/>
      <c r="AX105" s="85"/>
      <c r="AY105" s="3"/>
      <c r="AZ105" s="3"/>
      <c r="BA105" s="3"/>
      <c r="BB105" s="3"/>
      <c r="BC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84"/>
      <c r="AX106" s="85"/>
      <c r="AY106" s="3"/>
      <c r="AZ106" s="3"/>
      <c r="BA106" s="3"/>
      <c r="BB106" s="3"/>
      <c r="BC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84"/>
      <c r="AX107" s="85"/>
      <c r="AY107" s="3"/>
      <c r="AZ107" s="3"/>
      <c r="BA107" s="3"/>
      <c r="BB107" s="3"/>
      <c r="BC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84"/>
      <c r="AX108" s="85"/>
      <c r="AY108" s="3"/>
      <c r="AZ108" s="3"/>
      <c r="BA108" s="3"/>
      <c r="BB108" s="3"/>
      <c r="BC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84"/>
      <c r="AX109" s="85"/>
      <c r="AY109" s="3"/>
      <c r="AZ109" s="3"/>
      <c r="BA109" s="3"/>
      <c r="BB109" s="3"/>
      <c r="BC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84"/>
      <c r="AX110" s="85"/>
      <c r="AY110" s="3"/>
      <c r="AZ110" s="3"/>
      <c r="BA110" s="3"/>
      <c r="BB110" s="3"/>
      <c r="BC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84"/>
      <c r="AX111" s="85"/>
      <c r="AY111" s="3"/>
      <c r="AZ111" s="3"/>
      <c r="BA111" s="3"/>
      <c r="BB111" s="3"/>
      <c r="BC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84"/>
      <c r="AX112" s="85"/>
      <c r="AY112" s="3"/>
      <c r="AZ112" s="3"/>
      <c r="BA112" s="3"/>
      <c r="BB112" s="3"/>
      <c r="BC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84"/>
      <c r="AX113" s="85"/>
      <c r="AY113" s="3"/>
      <c r="AZ113" s="3"/>
      <c r="BA113" s="3"/>
      <c r="BB113" s="3"/>
      <c r="BC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84"/>
      <c r="AX114" s="85"/>
      <c r="AY114" s="3"/>
      <c r="AZ114" s="3"/>
      <c r="BA114" s="3"/>
      <c r="BB114" s="3"/>
      <c r="BC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84"/>
      <c r="AX115" s="85"/>
      <c r="AY115" s="3"/>
      <c r="AZ115" s="3"/>
      <c r="BA115" s="3"/>
      <c r="BB115" s="3"/>
      <c r="BC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84"/>
      <c r="AX116" s="85"/>
      <c r="AY116" s="3"/>
      <c r="AZ116" s="3"/>
      <c r="BA116" s="3"/>
      <c r="BB116" s="3"/>
      <c r="BC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84"/>
      <c r="AX117" s="85"/>
      <c r="AY117" s="3"/>
      <c r="AZ117" s="3"/>
      <c r="BA117" s="3"/>
      <c r="BB117" s="3"/>
      <c r="BC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84"/>
      <c r="AX118" s="85"/>
      <c r="AY118" s="3"/>
      <c r="AZ118" s="3"/>
      <c r="BA118" s="3"/>
      <c r="BB118" s="3"/>
      <c r="BC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84"/>
      <c r="AX119" s="85"/>
      <c r="AY119" s="3"/>
      <c r="AZ119" s="3"/>
      <c r="BA119" s="3"/>
      <c r="BB119" s="3"/>
      <c r="BC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84"/>
      <c r="AX120" s="85"/>
      <c r="AY120" s="3"/>
      <c r="AZ120" s="3"/>
      <c r="BA120" s="3"/>
      <c r="BB120" s="3"/>
      <c r="BC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84"/>
      <c r="AX121" s="85"/>
      <c r="AY121" s="3"/>
      <c r="AZ121" s="3"/>
      <c r="BA121" s="3"/>
      <c r="BB121" s="3"/>
      <c r="BC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84"/>
      <c r="AX122" s="85"/>
      <c r="AY122" s="3"/>
      <c r="AZ122" s="3"/>
      <c r="BA122" s="3"/>
      <c r="BB122" s="3"/>
      <c r="BC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84"/>
      <c r="AX123" s="85"/>
      <c r="AY123" s="3"/>
      <c r="AZ123" s="3"/>
      <c r="BA123" s="3"/>
      <c r="BB123" s="3"/>
      <c r="BC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84"/>
      <c r="AX124" s="85"/>
      <c r="AY124" s="3"/>
      <c r="AZ124" s="3"/>
      <c r="BA124" s="3"/>
      <c r="BB124" s="3"/>
      <c r="BC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84"/>
      <c r="AX125" s="85"/>
      <c r="AY125" s="3"/>
      <c r="AZ125" s="3"/>
      <c r="BA125" s="3"/>
      <c r="BB125" s="3"/>
      <c r="BC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84"/>
      <c r="AX126" s="85"/>
      <c r="AY126" s="3"/>
      <c r="AZ126" s="3"/>
      <c r="BA126" s="3"/>
      <c r="BB126" s="3"/>
      <c r="BC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84"/>
      <c r="AX127" s="85"/>
      <c r="AY127" s="3"/>
      <c r="AZ127" s="3"/>
      <c r="BA127" s="3"/>
      <c r="BB127" s="3"/>
      <c r="BC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84"/>
      <c r="AX128" s="85"/>
      <c r="AY128" s="3"/>
      <c r="AZ128" s="3"/>
      <c r="BA128" s="3"/>
      <c r="BB128" s="3"/>
      <c r="BC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84"/>
      <c r="AX129" s="85"/>
      <c r="AY129" s="3"/>
      <c r="AZ129" s="3"/>
      <c r="BA129" s="3"/>
      <c r="BB129" s="3"/>
      <c r="BC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84"/>
      <c r="AX130" s="85"/>
      <c r="AY130" s="3"/>
      <c r="AZ130" s="3"/>
      <c r="BA130" s="3"/>
      <c r="BB130" s="3"/>
      <c r="BC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84"/>
      <c r="AX131" s="85"/>
      <c r="AY131" s="3"/>
      <c r="AZ131" s="3"/>
      <c r="BA131" s="3"/>
      <c r="BB131" s="3"/>
      <c r="BC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84"/>
      <c r="AX132" s="85"/>
      <c r="AY132" s="3"/>
      <c r="AZ132" s="3"/>
      <c r="BA132" s="3"/>
      <c r="BB132" s="3"/>
      <c r="BC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84"/>
      <c r="AX133" s="85"/>
      <c r="AY133" s="3"/>
      <c r="AZ133" s="3"/>
      <c r="BA133" s="3"/>
      <c r="BB133" s="3"/>
      <c r="BC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84"/>
      <c r="AX134" s="85"/>
      <c r="AY134" s="3"/>
      <c r="AZ134" s="3"/>
      <c r="BA134" s="3"/>
      <c r="BB134" s="3"/>
      <c r="BC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84"/>
      <c r="AX135" s="85"/>
      <c r="AY135" s="3"/>
      <c r="AZ135" s="3"/>
      <c r="BA135" s="3"/>
      <c r="BB135" s="3"/>
      <c r="BC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84"/>
      <c r="AX136" s="85"/>
      <c r="AY136" s="3"/>
      <c r="AZ136" s="3"/>
      <c r="BA136" s="3"/>
      <c r="BB136" s="3"/>
      <c r="BC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84"/>
      <c r="AX137" s="85"/>
      <c r="AY137" s="3"/>
      <c r="AZ137" s="3"/>
      <c r="BA137" s="3"/>
      <c r="BB137" s="3"/>
      <c r="BC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84"/>
      <c r="AX138" s="85"/>
      <c r="AY138" s="3"/>
      <c r="AZ138" s="3"/>
      <c r="BA138" s="3"/>
      <c r="BB138" s="3"/>
      <c r="BC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84"/>
      <c r="AX139" s="85"/>
      <c r="AY139" s="3"/>
      <c r="AZ139" s="3"/>
      <c r="BA139" s="3"/>
      <c r="BB139" s="3"/>
      <c r="BC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84"/>
      <c r="AX140" s="85"/>
      <c r="AY140" s="3"/>
      <c r="AZ140" s="3"/>
      <c r="BA140" s="3"/>
      <c r="BB140" s="3"/>
      <c r="BC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84"/>
      <c r="AX141" s="85"/>
      <c r="AY141" s="3"/>
      <c r="AZ141" s="3"/>
      <c r="BA141" s="3"/>
      <c r="BB141" s="3"/>
      <c r="BC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84"/>
      <c r="AX142" s="85"/>
      <c r="AY142" s="3"/>
      <c r="AZ142" s="3"/>
      <c r="BA142" s="3"/>
      <c r="BB142" s="3"/>
      <c r="BC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84"/>
      <c r="AX143" s="85"/>
      <c r="AY143" s="3"/>
      <c r="AZ143" s="3"/>
      <c r="BA143" s="3"/>
      <c r="BB143" s="3"/>
      <c r="BC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84"/>
      <c r="AX144" s="85"/>
      <c r="AY144" s="3"/>
      <c r="AZ144" s="3"/>
      <c r="BA144" s="3"/>
      <c r="BB144" s="3"/>
      <c r="BC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84"/>
      <c r="AX145" s="85"/>
      <c r="AY145" s="3"/>
      <c r="AZ145" s="3"/>
      <c r="BA145" s="3"/>
      <c r="BB145" s="3"/>
      <c r="BC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84"/>
      <c r="AX146" s="85"/>
      <c r="AY146" s="3"/>
      <c r="AZ146" s="3"/>
      <c r="BA146" s="3"/>
      <c r="BB146" s="3"/>
      <c r="BC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84"/>
      <c r="AX147" s="85"/>
      <c r="AY147" s="3"/>
      <c r="AZ147" s="3"/>
      <c r="BA147" s="3"/>
      <c r="BB147" s="3"/>
      <c r="BC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84"/>
      <c r="AX148" s="85"/>
      <c r="AY148" s="3"/>
      <c r="AZ148" s="3"/>
      <c r="BA148" s="3"/>
      <c r="BB148" s="3"/>
      <c r="BC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84"/>
      <c r="AX149" s="85"/>
      <c r="AY149" s="3"/>
      <c r="AZ149" s="3"/>
      <c r="BA149" s="3"/>
      <c r="BB149" s="3"/>
      <c r="BC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84"/>
      <c r="AX150" s="85"/>
      <c r="AY150" s="3"/>
      <c r="AZ150" s="3"/>
      <c r="BA150" s="3"/>
      <c r="BB150" s="3"/>
      <c r="BC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84"/>
      <c r="AX151" s="85"/>
      <c r="AY151" s="3"/>
      <c r="AZ151" s="3"/>
      <c r="BA151" s="3"/>
      <c r="BB151" s="3"/>
      <c r="BC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84"/>
      <c r="AX152" s="85"/>
      <c r="AY152" s="3"/>
      <c r="AZ152" s="3"/>
      <c r="BA152" s="3"/>
      <c r="BB152" s="3"/>
      <c r="BC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84"/>
      <c r="AX153" s="85"/>
      <c r="AY153" s="3"/>
      <c r="AZ153" s="3"/>
      <c r="BA153" s="3"/>
      <c r="BB153" s="3"/>
      <c r="BC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84"/>
      <c r="AX154" s="85"/>
      <c r="AY154" s="3"/>
      <c r="AZ154" s="3"/>
      <c r="BA154" s="3"/>
      <c r="BB154" s="3"/>
      <c r="BC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84"/>
      <c r="AX155" s="85"/>
      <c r="AY155" s="3"/>
      <c r="AZ155" s="3"/>
      <c r="BA155" s="3"/>
      <c r="BB155" s="3"/>
      <c r="BC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84"/>
      <c r="AX156" s="85"/>
      <c r="AY156" s="3"/>
      <c r="AZ156" s="3"/>
      <c r="BA156" s="3"/>
      <c r="BB156" s="3"/>
      <c r="BC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84"/>
      <c r="AX157" s="85"/>
      <c r="AY157" s="3"/>
      <c r="AZ157" s="3"/>
      <c r="BA157" s="3"/>
      <c r="BB157" s="3"/>
      <c r="BC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84"/>
      <c r="AX158" s="85"/>
      <c r="AY158" s="3"/>
      <c r="AZ158" s="3"/>
      <c r="BA158" s="3"/>
      <c r="BB158" s="3"/>
      <c r="BC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84"/>
      <c r="AX159" s="85"/>
      <c r="AY159" s="3"/>
      <c r="AZ159" s="3"/>
      <c r="BA159" s="3"/>
      <c r="BB159" s="3"/>
      <c r="BC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84"/>
      <c r="AX160" s="85"/>
      <c r="AY160" s="3"/>
      <c r="AZ160" s="3"/>
      <c r="BA160" s="3"/>
      <c r="BB160" s="3"/>
      <c r="BC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84"/>
      <c r="AX161" s="85"/>
      <c r="AY161" s="3"/>
      <c r="AZ161" s="3"/>
      <c r="BA161" s="3"/>
      <c r="BB161" s="3"/>
      <c r="BC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84"/>
      <c r="AX162" s="85"/>
      <c r="AY162" s="3"/>
      <c r="AZ162" s="3"/>
      <c r="BA162" s="3"/>
      <c r="BB162" s="3"/>
      <c r="BC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84"/>
      <c r="AX163" s="85"/>
      <c r="AY163" s="3"/>
      <c r="AZ163" s="3"/>
      <c r="BA163" s="3"/>
      <c r="BB163" s="3"/>
      <c r="BC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84"/>
      <c r="AX164" s="85"/>
      <c r="AY164" s="3"/>
      <c r="AZ164" s="3"/>
      <c r="BA164" s="3"/>
      <c r="BB164" s="3"/>
      <c r="BC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84"/>
      <c r="AX165" s="85"/>
      <c r="AY165" s="3"/>
      <c r="AZ165" s="3"/>
      <c r="BA165" s="3"/>
      <c r="BB165" s="3"/>
      <c r="BC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84"/>
      <c r="AX166" s="85"/>
      <c r="AY166" s="3"/>
      <c r="AZ166" s="3"/>
      <c r="BA166" s="3"/>
      <c r="BB166" s="3"/>
      <c r="BC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84"/>
      <c r="AX167" s="85"/>
      <c r="AY167" s="3"/>
      <c r="AZ167" s="3"/>
      <c r="BA167" s="3"/>
      <c r="BB167" s="3"/>
      <c r="BC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84"/>
      <c r="AX168" s="85"/>
      <c r="AY168" s="3"/>
      <c r="AZ168" s="3"/>
      <c r="BA168" s="3"/>
      <c r="BB168" s="3"/>
      <c r="BC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84"/>
      <c r="AX169" s="85"/>
      <c r="AY169" s="3"/>
      <c r="AZ169" s="3"/>
      <c r="BA169" s="3"/>
      <c r="BB169" s="3"/>
      <c r="BC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84"/>
      <c r="AX170" s="85"/>
      <c r="AY170" s="3"/>
      <c r="AZ170" s="3"/>
      <c r="BA170" s="3"/>
      <c r="BB170" s="3"/>
      <c r="BC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84"/>
      <c r="AX171" s="85"/>
      <c r="AY171" s="3"/>
      <c r="AZ171" s="3"/>
      <c r="BA171" s="3"/>
      <c r="BB171" s="3"/>
      <c r="BC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84"/>
      <c r="AX172" s="85"/>
      <c r="AY172" s="3"/>
      <c r="AZ172" s="3"/>
      <c r="BA172" s="3"/>
      <c r="BB172" s="3"/>
      <c r="BC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84"/>
      <c r="AX173" s="85"/>
      <c r="AY173" s="3"/>
      <c r="AZ173" s="3"/>
      <c r="BA173" s="3"/>
      <c r="BB173" s="3"/>
      <c r="BC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84"/>
      <c r="AX174" s="85"/>
      <c r="AY174" s="3"/>
      <c r="AZ174" s="3"/>
      <c r="BA174" s="3"/>
      <c r="BB174" s="3"/>
      <c r="BC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84"/>
      <c r="AX175" s="85"/>
      <c r="AY175" s="3"/>
      <c r="AZ175" s="3"/>
      <c r="BA175" s="3"/>
      <c r="BB175" s="3"/>
      <c r="BC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84"/>
      <c r="AX176" s="85"/>
      <c r="AY176" s="3"/>
      <c r="AZ176" s="3"/>
      <c r="BA176" s="3"/>
      <c r="BB176" s="3"/>
      <c r="BC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84"/>
      <c r="AX177" s="85"/>
      <c r="AY177" s="3"/>
      <c r="AZ177" s="3"/>
      <c r="BA177" s="3"/>
      <c r="BB177" s="3"/>
      <c r="BC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84"/>
      <c r="AX178" s="85"/>
      <c r="AY178" s="3"/>
      <c r="AZ178" s="3"/>
      <c r="BA178" s="3"/>
      <c r="BB178" s="3"/>
      <c r="BC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84"/>
      <c r="AX179" s="85"/>
      <c r="AY179" s="3"/>
      <c r="AZ179" s="3"/>
      <c r="BA179" s="3"/>
      <c r="BB179" s="3"/>
      <c r="BC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84"/>
      <c r="AX180" s="85"/>
      <c r="AY180" s="3"/>
      <c r="AZ180" s="3"/>
      <c r="BA180" s="3"/>
      <c r="BB180" s="3"/>
      <c r="BC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84"/>
      <c r="AX181" s="85"/>
      <c r="AY181" s="3"/>
      <c r="AZ181" s="3"/>
      <c r="BA181" s="3"/>
      <c r="BB181" s="3"/>
      <c r="BC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84"/>
      <c r="AX182" s="85"/>
      <c r="AY182" s="3"/>
      <c r="AZ182" s="3"/>
      <c r="BA182" s="3"/>
      <c r="BB182" s="3"/>
      <c r="BC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84"/>
      <c r="AX183" s="85"/>
      <c r="AY183" s="3"/>
      <c r="AZ183" s="3"/>
      <c r="BA183" s="3"/>
      <c r="BB183" s="3"/>
      <c r="BC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84"/>
      <c r="AX184" s="85"/>
      <c r="AY184" s="3"/>
      <c r="AZ184" s="3"/>
      <c r="BA184" s="3"/>
      <c r="BB184" s="3"/>
      <c r="BC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84"/>
      <c r="AX185" s="85"/>
      <c r="AY185" s="3"/>
      <c r="AZ185" s="3"/>
      <c r="BA185" s="3"/>
      <c r="BB185" s="3"/>
      <c r="BC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84"/>
      <c r="AX186" s="85"/>
      <c r="AY186" s="3"/>
      <c r="AZ186" s="3"/>
      <c r="BA186" s="3"/>
      <c r="BB186" s="3"/>
      <c r="BC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84"/>
      <c r="AX187" s="85"/>
      <c r="AY187" s="3"/>
      <c r="AZ187" s="3"/>
      <c r="BA187" s="3"/>
      <c r="BB187" s="3"/>
      <c r="BC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84"/>
      <c r="AX188" s="85"/>
      <c r="AY188" s="3"/>
      <c r="AZ188" s="3"/>
      <c r="BA188" s="3"/>
      <c r="BB188" s="3"/>
      <c r="BC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84"/>
      <c r="AX189" s="85"/>
      <c r="AY189" s="3"/>
      <c r="AZ189" s="3"/>
      <c r="BA189" s="3"/>
      <c r="BB189" s="3"/>
      <c r="BC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84"/>
      <c r="AX190" s="85"/>
      <c r="AY190" s="3"/>
      <c r="AZ190" s="3"/>
      <c r="BA190" s="3"/>
      <c r="BB190" s="3"/>
      <c r="BC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84"/>
      <c r="AX191" s="85"/>
      <c r="AY191" s="3"/>
      <c r="AZ191" s="3"/>
      <c r="BA191" s="3"/>
      <c r="BB191" s="3"/>
      <c r="BC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84"/>
      <c r="AX192" s="85"/>
      <c r="AY192" s="3"/>
      <c r="AZ192" s="3"/>
      <c r="BA192" s="3"/>
      <c r="BB192" s="3"/>
      <c r="BC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84"/>
      <c r="AX193" s="85"/>
      <c r="AY193" s="3"/>
      <c r="AZ193" s="3"/>
      <c r="BA193" s="3"/>
      <c r="BB193" s="3"/>
      <c r="BC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84"/>
      <c r="AX194" s="85"/>
      <c r="AY194" s="3"/>
      <c r="AZ194" s="3"/>
      <c r="BA194" s="3"/>
      <c r="BB194" s="3"/>
      <c r="BC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84"/>
      <c r="AX195" s="85"/>
      <c r="AY195" s="3"/>
      <c r="AZ195" s="3"/>
      <c r="BA195" s="3"/>
      <c r="BB195" s="3"/>
      <c r="BC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84"/>
      <c r="AX196" s="85"/>
      <c r="AY196" s="3"/>
      <c r="AZ196" s="3"/>
      <c r="BA196" s="3"/>
      <c r="BB196" s="3"/>
      <c r="BC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84"/>
      <c r="AX197" s="85"/>
      <c r="AY197" s="3"/>
      <c r="AZ197" s="3"/>
      <c r="BA197" s="3"/>
      <c r="BB197" s="3"/>
      <c r="BC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84"/>
      <c r="AX198" s="85"/>
      <c r="AY198" s="3"/>
      <c r="AZ198" s="3"/>
      <c r="BA198" s="3"/>
      <c r="BB198" s="3"/>
      <c r="BC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84"/>
      <c r="AX199" s="85"/>
      <c r="AY199" s="3"/>
      <c r="AZ199" s="3"/>
      <c r="BA199" s="3"/>
      <c r="BB199" s="3"/>
      <c r="BC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84"/>
      <c r="AX200" s="85"/>
      <c r="AY200" s="3"/>
      <c r="AZ200" s="3"/>
      <c r="BA200" s="3"/>
      <c r="BB200" s="3"/>
      <c r="BC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84"/>
      <c r="AX201" s="85"/>
      <c r="AY201" s="3"/>
      <c r="AZ201" s="3"/>
      <c r="BA201" s="3"/>
      <c r="BB201" s="3"/>
      <c r="BC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84"/>
      <c r="AX202" s="85"/>
      <c r="AY202" s="3"/>
      <c r="AZ202" s="3"/>
      <c r="BA202" s="3"/>
      <c r="BB202" s="3"/>
      <c r="BC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84"/>
      <c r="AX203" s="85"/>
      <c r="AY203" s="3"/>
      <c r="AZ203" s="3"/>
      <c r="BA203" s="3"/>
      <c r="BB203" s="3"/>
      <c r="BC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84"/>
      <c r="AX204" s="85"/>
      <c r="AY204" s="3"/>
      <c r="AZ204" s="3"/>
      <c r="BA204" s="3"/>
      <c r="BB204" s="3"/>
      <c r="BC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84"/>
      <c r="AX205" s="85"/>
      <c r="AY205" s="3"/>
      <c r="AZ205" s="3"/>
      <c r="BA205" s="3"/>
      <c r="BB205" s="3"/>
      <c r="BC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84"/>
      <c r="AX206" s="85"/>
      <c r="AY206" s="3"/>
      <c r="AZ206" s="3"/>
      <c r="BA206" s="3"/>
      <c r="BB206" s="3"/>
      <c r="BC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84"/>
      <c r="AX207" s="85"/>
      <c r="AY207" s="3"/>
      <c r="AZ207" s="3"/>
      <c r="BA207" s="3"/>
      <c r="BB207" s="3"/>
      <c r="BC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84"/>
      <c r="AX208" s="85"/>
      <c r="AY208" s="3"/>
      <c r="AZ208" s="3"/>
      <c r="BA208" s="3"/>
      <c r="BB208" s="3"/>
      <c r="BC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84"/>
      <c r="AX209" s="85"/>
      <c r="AY209" s="3"/>
      <c r="AZ209" s="3"/>
      <c r="BA209" s="3"/>
      <c r="BB209" s="3"/>
      <c r="BC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84"/>
      <c r="AX210" s="85"/>
      <c r="AY210" s="3"/>
      <c r="AZ210" s="3"/>
      <c r="BA210" s="3"/>
      <c r="BB210" s="3"/>
      <c r="BC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84"/>
      <c r="AX211" s="85"/>
      <c r="AY211" s="3"/>
      <c r="AZ211" s="3"/>
      <c r="BA211" s="3"/>
      <c r="BB211" s="3"/>
      <c r="BC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84"/>
      <c r="AX212" s="85"/>
      <c r="AY212" s="3"/>
      <c r="AZ212" s="3"/>
      <c r="BA212" s="3"/>
      <c r="BB212" s="3"/>
      <c r="BC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84"/>
      <c r="AX213" s="85"/>
      <c r="AY213" s="3"/>
      <c r="AZ213" s="3"/>
      <c r="BA213" s="3"/>
      <c r="BB213" s="3"/>
      <c r="BC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84"/>
      <c r="AX214" s="85"/>
      <c r="AY214" s="3"/>
      <c r="AZ214" s="3"/>
      <c r="BA214" s="3"/>
      <c r="BB214" s="3"/>
      <c r="BC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84"/>
      <c r="AX215" s="85"/>
      <c r="AY215" s="3"/>
      <c r="AZ215" s="3"/>
      <c r="BA215" s="3"/>
      <c r="BB215" s="3"/>
      <c r="BC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84"/>
      <c r="AX216" s="85"/>
      <c r="AY216" s="3"/>
      <c r="AZ216" s="3"/>
      <c r="BA216" s="3"/>
      <c r="BB216" s="3"/>
      <c r="BC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84"/>
      <c r="AX217" s="85"/>
      <c r="AY217" s="3"/>
      <c r="AZ217" s="3"/>
      <c r="BA217" s="3"/>
      <c r="BB217" s="3"/>
      <c r="BC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84"/>
      <c r="AX218" s="85"/>
      <c r="AY218" s="3"/>
      <c r="AZ218" s="3"/>
      <c r="BA218" s="3"/>
      <c r="BB218" s="3"/>
      <c r="BC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84"/>
      <c r="AX219" s="85"/>
      <c r="AY219" s="3"/>
      <c r="AZ219" s="3"/>
      <c r="BA219" s="3"/>
      <c r="BB219" s="3"/>
      <c r="BC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84"/>
      <c r="AX220" s="85"/>
      <c r="AY220" s="3"/>
      <c r="AZ220" s="3"/>
      <c r="BA220" s="3"/>
      <c r="BB220" s="3"/>
      <c r="BC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84"/>
      <c r="AX221" s="85"/>
      <c r="AY221" s="3"/>
      <c r="AZ221" s="3"/>
      <c r="BA221" s="3"/>
      <c r="BB221" s="3"/>
      <c r="BC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84"/>
      <c r="AX222" s="85"/>
      <c r="AY222" s="3"/>
      <c r="AZ222" s="3"/>
      <c r="BA222" s="3"/>
      <c r="BB222" s="3"/>
      <c r="BC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84"/>
      <c r="AX223" s="85"/>
      <c r="AY223" s="3"/>
      <c r="AZ223" s="3"/>
      <c r="BA223" s="3"/>
      <c r="BB223" s="3"/>
      <c r="BC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84"/>
      <c r="AX224" s="85"/>
      <c r="AY224" s="3"/>
      <c r="AZ224" s="3"/>
      <c r="BA224" s="3"/>
      <c r="BB224" s="3"/>
      <c r="BC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84"/>
      <c r="AX225" s="85"/>
      <c r="AY225" s="3"/>
      <c r="AZ225" s="3"/>
      <c r="BA225" s="3"/>
      <c r="BB225" s="3"/>
      <c r="BC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84"/>
      <c r="AX226" s="85"/>
      <c r="AY226" s="3"/>
      <c r="AZ226" s="3"/>
      <c r="BA226" s="3"/>
      <c r="BB226" s="3"/>
      <c r="BC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84"/>
      <c r="AX227" s="85"/>
      <c r="AY227" s="3"/>
      <c r="AZ227" s="3"/>
      <c r="BA227" s="3"/>
      <c r="BB227" s="3"/>
      <c r="BC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84"/>
      <c r="AX228" s="85"/>
      <c r="AY228" s="3"/>
      <c r="AZ228" s="3"/>
      <c r="BA228" s="3"/>
      <c r="BB228" s="3"/>
      <c r="BC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84"/>
      <c r="AX229" s="85"/>
      <c r="AY229" s="3"/>
      <c r="AZ229" s="3"/>
      <c r="BA229" s="3"/>
      <c r="BB229" s="3"/>
      <c r="BC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84"/>
      <c r="AX230" s="85"/>
      <c r="AY230" s="3"/>
      <c r="AZ230" s="3"/>
      <c r="BA230" s="3"/>
      <c r="BB230" s="3"/>
      <c r="BC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84"/>
      <c r="AX231" s="85"/>
      <c r="AY231" s="3"/>
      <c r="AZ231" s="3"/>
      <c r="BA231" s="3"/>
      <c r="BB231" s="3"/>
      <c r="BC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84"/>
      <c r="AX232" s="85"/>
      <c r="AY232" s="3"/>
      <c r="AZ232" s="3"/>
      <c r="BA232" s="3"/>
      <c r="BB232" s="3"/>
      <c r="BC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84"/>
      <c r="AX233" s="85"/>
      <c r="AY233" s="3"/>
      <c r="AZ233" s="3"/>
      <c r="BA233" s="3"/>
      <c r="BB233" s="3"/>
      <c r="BC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84"/>
      <c r="AX234" s="85"/>
      <c r="AY234" s="3"/>
      <c r="AZ234" s="3"/>
      <c r="BA234" s="3"/>
      <c r="BB234" s="3"/>
      <c r="BC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84"/>
      <c r="AX235" s="85"/>
      <c r="AY235" s="3"/>
      <c r="AZ235" s="3"/>
      <c r="BA235" s="3"/>
      <c r="BB235" s="3"/>
      <c r="BC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84"/>
      <c r="AX236" s="85"/>
      <c r="AY236" s="3"/>
      <c r="AZ236" s="3"/>
      <c r="BA236" s="3"/>
      <c r="BB236" s="3"/>
      <c r="BC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84"/>
      <c r="AX237" s="85"/>
      <c r="AY237" s="3"/>
      <c r="AZ237" s="3"/>
      <c r="BA237" s="3"/>
      <c r="BB237" s="3"/>
      <c r="BC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84"/>
      <c r="AX238" s="85"/>
      <c r="AY238" s="3"/>
      <c r="AZ238" s="3"/>
      <c r="BA238" s="3"/>
      <c r="BB238" s="3"/>
      <c r="BC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84"/>
      <c r="AX239" s="85"/>
      <c r="AY239" s="3"/>
      <c r="AZ239" s="3"/>
      <c r="BA239" s="3"/>
      <c r="BB239" s="3"/>
      <c r="BC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84"/>
      <c r="AX240" s="85"/>
      <c r="AY240" s="3"/>
      <c r="AZ240" s="3"/>
      <c r="BA240" s="3"/>
      <c r="BB240" s="3"/>
      <c r="BC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84"/>
      <c r="AX241" s="85"/>
      <c r="AY241" s="3"/>
      <c r="AZ241" s="3"/>
      <c r="BA241" s="3"/>
      <c r="BB241" s="3"/>
      <c r="BC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84"/>
      <c r="AX242" s="85"/>
      <c r="AY242" s="3"/>
      <c r="AZ242" s="3"/>
      <c r="BA242" s="3"/>
      <c r="BB242" s="3"/>
      <c r="BC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84"/>
      <c r="AX243" s="85"/>
      <c r="AY243" s="3"/>
      <c r="AZ243" s="3"/>
      <c r="BA243" s="3"/>
      <c r="BB243" s="3"/>
      <c r="BC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84"/>
      <c r="AX244" s="85"/>
      <c r="AY244" s="3"/>
      <c r="AZ244" s="3"/>
      <c r="BA244" s="3"/>
      <c r="BB244" s="3"/>
      <c r="BC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84"/>
      <c r="AX245" s="85"/>
      <c r="AY245" s="3"/>
      <c r="AZ245" s="3"/>
      <c r="BA245" s="3"/>
      <c r="BB245" s="3"/>
      <c r="BC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84"/>
      <c r="AX246" s="85"/>
      <c r="AY246" s="3"/>
      <c r="AZ246" s="3"/>
      <c r="BA246" s="3"/>
      <c r="BB246" s="3"/>
      <c r="BC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84"/>
      <c r="AX247" s="85"/>
      <c r="AY247" s="3"/>
      <c r="AZ247" s="3"/>
      <c r="BA247" s="3"/>
      <c r="BB247" s="3"/>
      <c r="BC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84"/>
      <c r="AX248" s="85"/>
      <c r="AY248" s="3"/>
      <c r="AZ248" s="3"/>
      <c r="BA248" s="3"/>
      <c r="BB248" s="3"/>
      <c r="BC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84"/>
      <c r="AX249" s="85"/>
      <c r="AY249" s="3"/>
      <c r="AZ249" s="3"/>
      <c r="BA249" s="3"/>
      <c r="BB249" s="3"/>
      <c r="BC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84"/>
      <c r="AX250" s="85"/>
      <c r="AY250" s="3"/>
      <c r="AZ250" s="3"/>
      <c r="BA250" s="3"/>
      <c r="BB250" s="3"/>
      <c r="BC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84"/>
      <c r="AX251" s="85"/>
      <c r="AY251" s="3"/>
      <c r="AZ251" s="3"/>
      <c r="BA251" s="3"/>
      <c r="BB251" s="3"/>
      <c r="BC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84"/>
      <c r="AX252" s="85"/>
      <c r="AY252" s="3"/>
      <c r="AZ252" s="3"/>
      <c r="BA252" s="3"/>
      <c r="BB252" s="3"/>
      <c r="BC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84"/>
      <c r="AX253" s="85"/>
      <c r="AY253" s="3"/>
      <c r="AZ253" s="3"/>
      <c r="BA253" s="3"/>
      <c r="BB253" s="3"/>
      <c r="BC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84"/>
      <c r="AX254" s="85"/>
      <c r="AY254" s="3"/>
      <c r="AZ254" s="3"/>
      <c r="BA254" s="3"/>
      <c r="BB254" s="3"/>
      <c r="BC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84"/>
      <c r="AX255" s="85"/>
      <c r="AY255" s="3"/>
      <c r="AZ255" s="3"/>
      <c r="BA255" s="3"/>
      <c r="BB255" s="3"/>
      <c r="BC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84"/>
      <c r="AX256" s="85"/>
      <c r="AY256" s="3"/>
      <c r="AZ256" s="3"/>
      <c r="BA256" s="3"/>
      <c r="BB256" s="3"/>
      <c r="BC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84"/>
      <c r="AX257" s="85"/>
      <c r="AY257" s="3"/>
      <c r="AZ257" s="3"/>
      <c r="BA257" s="3"/>
      <c r="BB257" s="3"/>
      <c r="BC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84"/>
      <c r="AX258" s="85"/>
      <c r="AY258" s="3"/>
      <c r="AZ258" s="3"/>
      <c r="BA258" s="3"/>
      <c r="BB258" s="3"/>
      <c r="BC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84"/>
      <c r="AX259" s="85"/>
      <c r="AY259" s="3"/>
      <c r="AZ259" s="3"/>
      <c r="BA259" s="3"/>
      <c r="BB259" s="3"/>
      <c r="BC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84"/>
      <c r="AX260" s="85"/>
      <c r="AY260" s="3"/>
      <c r="AZ260" s="3"/>
      <c r="BA260" s="3"/>
      <c r="BB260" s="3"/>
      <c r="BC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84"/>
      <c r="AX261" s="85"/>
      <c r="AY261" s="3"/>
      <c r="AZ261" s="3"/>
      <c r="BA261" s="3"/>
      <c r="BB261" s="3"/>
      <c r="BC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84"/>
      <c r="AX262" s="85"/>
      <c r="AY262" s="3"/>
      <c r="AZ262" s="3"/>
      <c r="BA262" s="3"/>
      <c r="BB262" s="3"/>
      <c r="BC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84"/>
      <c r="AX263" s="85"/>
      <c r="AY263" s="3"/>
      <c r="AZ263" s="3"/>
      <c r="BA263" s="3"/>
      <c r="BB263" s="3"/>
      <c r="BC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84"/>
      <c r="AX264" s="85"/>
      <c r="AY264" s="3"/>
      <c r="AZ264" s="3"/>
      <c r="BA264" s="3"/>
      <c r="BB264" s="3"/>
      <c r="BC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84"/>
      <c r="AX265" s="85"/>
      <c r="AY265" s="3"/>
      <c r="AZ265" s="3"/>
      <c r="BA265" s="3"/>
      <c r="BB265" s="3"/>
      <c r="BC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84"/>
      <c r="AX266" s="85"/>
      <c r="AY266" s="3"/>
      <c r="AZ266" s="3"/>
      <c r="BA266" s="3"/>
      <c r="BB266" s="3"/>
      <c r="BC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84"/>
      <c r="AX267" s="85"/>
      <c r="AY267" s="3"/>
      <c r="AZ267" s="3"/>
      <c r="BA267" s="3"/>
      <c r="BB267" s="3"/>
      <c r="BC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84"/>
      <c r="AX268" s="85"/>
      <c r="AY268" s="3"/>
      <c r="AZ268" s="3"/>
      <c r="BA268" s="3"/>
      <c r="BB268" s="3"/>
      <c r="BC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84"/>
      <c r="AX269" s="85"/>
      <c r="AY269" s="3"/>
      <c r="AZ269" s="3"/>
      <c r="BA269" s="3"/>
      <c r="BB269" s="3"/>
      <c r="BC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84"/>
      <c r="AX270" s="85"/>
      <c r="AY270" s="3"/>
      <c r="AZ270" s="3"/>
      <c r="BA270" s="3"/>
      <c r="BB270" s="3"/>
      <c r="BC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84"/>
      <c r="AX271" s="85"/>
      <c r="AY271" s="3"/>
      <c r="AZ271" s="3"/>
      <c r="BA271" s="3"/>
      <c r="BB271" s="3"/>
      <c r="BC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84"/>
      <c r="AX272" s="85"/>
      <c r="AY272" s="3"/>
      <c r="AZ272" s="3"/>
      <c r="BA272" s="3"/>
      <c r="BB272" s="3"/>
      <c r="BC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84"/>
      <c r="AX273" s="85"/>
      <c r="AY273" s="3"/>
      <c r="AZ273" s="3"/>
      <c r="BA273" s="3"/>
      <c r="BB273" s="3"/>
      <c r="BC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84"/>
      <c r="AX274" s="85"/>
      <c r="AY274" s="3"/>
      <c r="AZ274" s="3"/>
      <c r="BA274" s="3"/>
      <c r="BB274" s="3"/>
      <c r="BC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84"/>
      <c r="AX275" s="85"/>
      <c r="AY275" s="3"/>
      <c r="AZ275" s="3"/>
      <c r="BA275" s="3"/>
      <c r="BB275" s="3"/>
      <c r="BC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84"/>
      <c r="AX276" s="85"/>
      <c r="AY276" s="3"/>
      <c r="AZ276" s="3"/>
      <c r="BA276" s="3"/>
      <c r="BB276" s="3"/>
      <c r="BC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84"/>
      <c r="AX277" s="85"/>
      <c r="AY277" s="3"/>
      <c r="AZ277" s="3"/>
      <c r="BA277" s="3"/>
      <c r="BB277" s="3"/>
      <c r="BC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84"/>
      <c r="AX278" s="85"/>
      <c r="AY278" s="3"/>
      <c r="AZ278" s="3"/>
      <c r="BA278" s="3"/>
      <c r="BB278" s="3"/>
      <c r="BC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84"/>
      <c r="AX279" s="85"/>
      <c r="AY279" s="3"/>
      <c r="AZ279" s="3"/>
      <c r="BA279" s="3"/>
      <c r="BB279" s="3"/>
      <c r="BC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84"/>
      <c r="AX280" s="85"/>
      <c r="AY280" s="3"/>
      <c r="AZ280" s="3"/>
      <c r="BA280" s="3"/>
      <c r="BB280" s="3"/>
      <c r="BC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84"/>
      <c r="AX281" s="85"/>
      <c r="AY281" s="3"/>
      <c r="AZ281" s="3"/>
      <c r="BA281" s="3"/>
      <c r="BB281" s="3"/>
      <c r="BC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84"/>
      <c r="AX282" s="85"/>
      <c r="AY282" s="3"/>
      <c r="AZ282" s="3"/>
      <c r="BA282" s="3"/>
      <c r="BB282" s="3"/>
      <c r="BC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84"/>
      <c r="AX283" s="85"/>
      <c r="AY283" s="3"/>
      <c r="AZ283" s="3"/>
      <c r="BA283" s="3"/>
      <c r="BB283" s="3"/>
      <c r="BC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84"/>
      <c r="AX284" s="85"/>
      <c r="AY284" s="3"/>
      <c r="AZ284" s="3"/>
      <c r="BA284" s="3"/>
      <c r="BB284" s="3"/>
      <c r="BC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84"/>
      <c r="AX285" s="85"/>
      <c r="AY285" s="3"/>
      <c r="AZ285" s="3"/>
      <c r="BA285" s="3"/>
      <c r="BB285" s="3"/>
      <c r="BC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84"/>
      <c r="AX286" s="85"/>
      <c r="AY286" s="3"/>
      <c r="AZ286" s="3"/>
      <c r="BA286" s="3"/>
      <c r="BB286" s="3"/>
      <c r="BC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84"/>
      <c r="AX287" s="85"/>
      <c r="AY287" s="3"/>
      <c r="AZ287" s="3"/>
      <c r="BA287" s="3"/>
      <c r="BB287" s="3"/>
      <c r="BC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84"/>
      <c r="AX288" s="85"/>
      <c r="AY288" s="3"/>
      <c r="AZ288" s="3"/>
      <c r="BA288" s="3"/>
      <c r="BB288" s="3"/>
      <c r="BC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84"/>
      <c r="AX289" s="85"/>
      <c r="AY289" s="3"/>
      <c r="AZ289" s="3"/>
      <c r="BA289" s="3"/>
      <c r="BB289" s="3"/>
      <c r="BC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84"/>
      <c r="AX290" s="85"/>
      <c r="AY290" s="3"/>
      <c r="AZ290" s="3"/>
      <c r="BA290" s="3"/>
      <c r="BB290" s="3"/>
      <c r="BC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84"/>
      <c r="AX291" s="85"/>
      <c r="AY291" s="3"/>
      <c r="AZ291" s="3"/>
      <c r="BA291" s="3"/>
      <c r="BB291" s="3"/>
      <c r="BC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84"/>
      <c r="AX292" s="85"/>
      <c r="AY292" s="3"/>
      <c r="AZ292" s="3"/>
      <c r="BA292" s="3"/>
      <c r="BB292" s="3"/>
      <c r="BC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84"/>
      <c r="AX293" s="85"/>
      <c r="AY293" s="3"/>
      <c r="AZ293" s="3"/>
      <c r="BA293" s="3"/>
      <c r="BB293" s="3"/>
      <c r="BC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84"/>
      <c r="AX294" s="85"/>
      <c r="AY294" s="3"/>
      <c r="AZ294" s="3"/>
      <c r="BA294" s="3"/>
      <c r="BB294" s="3"/>
      <c r="BC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84"/>
      <c r="AX295" s="85"/>
      <c r="AY295" s="3"/>
      <c r="AZ295" s="3"/>
      <c r="BA295" s="3"/>
      <c r="BB295" s="3"/>
      <c r="BC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84"/>
      <c r="AX296" s="85"/>
      <c r="AY296" s="3"/>
      <c r="AZ296" s="3"/>
      <c r="BA296" s="3"/>
      <c r="BB296" s="3"/>
      <c r="BC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84"/>
      <c r="AX297" s="85"/>
      <c r="AY297" s="3"/>
      <c r="AZ297" s="3"/>
      <c r="BA297" s="3"/>
      <c r="BB297" s="3"/>
      <c r="BC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84"/>
      <c r="AX298" s="85"/>
      <c r="AY298" s="3"/>
      <c r="AZ298" s="3"/>
      <c r="BA298" s="3"/>
      <c r="BB298" s="3"/>
      <c r="BC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84"/>
      <c r="AX299" s="85"/>
      <c r="AY299" s="3"/>
      <c r="AZ299" s="3"/>
      <c r="BA299" s="3"/>
      <c r="BB299" s="3"/>
      <c r="BC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84"/>
      <c r="AX300" s="85"/>
      <c r="AY300" s="3"/>
      <c r="AZ300" s="3"/>
      <c r="BA300" s="3"/>
      <c r="BB300" s="3"/>
      <c r="BC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84"/>
      <c r="AX301" s="85"/>
      <c r="AY301" s="3"/>
      <c r="AZ301" s="3"/>
      <c r="BA301" s="3"/>
      <c r="BB301" s="3"/>
      <c r="BC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84"/>
      <c r="AX302" s="85"/>
      <c r="AY302" s="3"/>
      <c r="AZ302" s="3"/>
      <c r="BA302" s="3"/>
      <c r="BB302" s="3"/>
      <c r="BC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84"/>
      <c r="AX303" s="85"/>
      <c r="AY303" s="3"/>
      <c r="AZ303" s="3"/>
      <c r="BA303" s="3"/>
      <c r="BB303" s="3"/>
      <c r="BC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84"/>
      <c r="AX304" s="85"/>
      <c r="AY304" s="3"/>
      <c r="AZ304" s="3"/>
      <c r="BA304" s="3"/>
      <c r="BB304" s="3"/>
      <c r="BC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84"/>
      <c r="AX305" s="85"/>
      <c r="AY305" s="3"/>
      <c r="AZ305" s="3"/>
      <c r="BA305" s="3"/>
      <c r="BB305" s="3"/>
      <c r="BC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84"/>
      <c r="AX306" s="85"/>
      <c r="AY306" s="3"/>
      <c r="AZ306" s="3"/>
      <c r="BA306" s="3"/>
      <c r="BB306" s="3"/>
      <c r="BC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84"/>
      <c r="AX307" s="85"/>
      <c r="AY307" s="3"/>
      <c r="AZ307" s="3"/>
      <c r="BA307" s="3"/>
      <c r="BB307" s="3"/>
      <c r="BC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84"/>
      <c r="AX308" s="85"/>
      <c r="AY308" s="3"/>
      <c r="AZ308" s="3"/>
      <c r="BA308" s="3"/>
      <c r="BB308" s="3"/>
      <c r="BC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84"/>
      <c r="AX309" s="85"/>
      <c r="AY309" s="3"/>
      <c r="AZ309" s="3"/>
      <c r="BA309" s="3"/>
      <c r="BB309" s="3"/>
      <c r="BC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84"/>
      <c r="AX310" s="85"/>
      <c r="AY310" s="3"/>
      <c r="AZ310" s="3"/>
      <c r="BA310" s="3"/>
      <c r="BB310" s="3"/>
      <c r="BC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84"/>
      <c r="AX311" s="85"/>
      <c r="AY311" s="3"/>
      <c r="AZ311" s="3"/>
      <c r="BA311" s="3"/>
      <c r="BB311" s="3"/>
      <c r="BC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84"/>
      <c r="AX312" s="85"/>
      <c r="AY312" s="3"/>
      <c r="AZ312" s="3"/>
      <c r="BA312" s="3"/>
      <c r="BB312" s="3"/>
      <c r="BC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84"/>
      <c r="AX313" s="85"/>
      <c r="AY313" s="3"/>
      <c r="AZ313" s="3"/>
      <c r="BA313" s="3"/>
      <c r="BB313" s="3"/>
      <c r="BC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84"/>
      <c r="AX314" s="85"/>
      <c r="AY314" s="3"/>
      <c r="AZ314" s="3"/>
      <c r="BA314" s="3"/>
      <c r="BB314" s="3"/>
      <c r="BC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84"/>
      <c r="AX315" s="85"/>
      <c r="AY315" s="3"/>
      <c r="AZ315" s="3"/>
      <c r="BA315" s="3"/>
      <c r="BB315" s="3"/>
      <c r="BC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84"/>
      <c r="AX316" s="85"/>
      <c r="AY316" s="3"/>
      <c r="AZ316" s="3"/>
      <c r="BA316" s="3"/>
      <c r="BB316" s="3"/>
      <c r="BC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84"/>
      <c r="AX317" s="85"/>
      <c r="AY317" s="3"/>
      <c r="AZ317" s="3"/>
      <c r="BA317" s="3"/>
      <c r="BB317" s="3"/>
      <c r="BC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84"/>
      <c r="AX318" s="85"/>
      <c r="AY318" s="3"/>
      <c r="AZ318" s="3"/>
      <c r="BA318" s="3"/>
      <c r="BB318" s="3"/>
      <c r="BC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84"/>
      <c r="AX319" s="85"/>
      <c r="AY319" s="3"/>
      <c r="AZ319" s="3"/>
      <c r="BA319" s="3"/>
      <c r="BB319" s="3"/>
      <c r="BC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84"/>
      <c r="AX320" s="85"/>
      <c r="AY320" s="3"/>
      <c r="AZ320" s="3"/>
      <c r="BA320" s="3"/>
      <c r="BB320" s="3"/>
      <c r="BC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84"/>
      <c r="AX321" s="85"/>
      <c r="AY321" s="3"/>
      <c r="AZ321" s="3"/>
      <c r="BA321" s="3"/>
      <c r="BB321" s="3"/>
      <c r="BC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84"/>
      <c r="AX322" s="85"/>
      <c r="AY322" s="3"/>
      <c r="AZ322" s="3"/>
      <c r="BA322" s="3"/>
      <c r="BB322" s="3"/>
      <c r="BC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84"/>
      <c r="AX323" s="85"/>
      <c r="AY323" s="3"/>
      <c r="AZ323" s="3"/>
      <c r="BA323" s="3"/>
      <c r="BB323" s="3"/>
      <c r="BC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84"/>
      <c r="AX324" s="85"/>
      <c r="AY324" s="3"/>
      <c r="AZ324" s="3"/>
      <c r="BA324" s="3"/>
      <c r="BB324" s="3"/>
      <c r="BC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84"/>
      <c r="AX325" s="85"/>
      <c r="AY325" s="3"/>
      <c r="AZ325" s="3"/>
      <c r="BA325" s="3"/>
      <c r="BB325" s="3"/>
      <c r="BC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84"/>
      <c r="AX326" s="85"/>
      <c r="AY326" s="3"/>
      <c r="AZ326" s="3"/>
      <c r="BA326" s="3"/>
      <c r="BB326" s="3"/>
      <c r="BC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84"/>
      <c r="AX327" s="85"/>
      <c r="AY327" s="3"/>
      <c r="AZ327" s="3"/>
      <c r="BA327" s="3"/>
      <c r="BB327" s="3"/>
      <c r="BC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84"/>
      <c r="AX328" s="85"/>
      <c r="AY328" s="3"/>
      <c r="AZ328" s="3"/>
      <c r="BA328" s="3"/>
      <c r="BB328" s="3"/>
      <c r="BC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84"/>
      <c r="AX329" s="85"/>
      <c r="AY329" s="3"/>
      <c r="AZ329" s="3"/>
      <c r="BA329" s="3"/>
      <c r="BB329" s="3"/>
      <c r="BC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84"/>
      <c r="AX330" s="85"/>
      <c r="AY330" s="3"/>
      <c r="AZ330" s="3"/>
      <c r="BA330" s="3"/>
      <c r="BB330" s="3"/>
      <c r="BC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84"/>
      <c r="AX331" s="85"/>
      <c r="AY331" s="3"/>
      <c r="AZ331" s="3"/>
      <c r="BA331" s="3"/>
      <c r="BB331" s="3"/>
      <c r="BC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84"/>
      <c r="AX332" s="85"/>
      <c r="AY332" s="3"/>
      <c r="AZ332" s="3"/>
      <c r="BA332" s="3"/>
      <c r="BB332" s="3"/>
      <c r="BC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84"/>
      <c r="AX333" s="85"/>
      <c r="AY333" s="3"/>
      <c r="AZ333" s="3"/>
      <c r="BA333" s="3"/>
      <c r="BB333" s="3"/>
      <c r="BC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84"/>
      <c r="AX334" s="85"/>
      <c r="AY334" s="3"/>
      <c r="AZ334" s="3"/>
      <c r="BA334" s="3"/>
      <c r="BB334" s="3"/>
      <c r="BC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84"/>
      <c r="AX335" s="85"/>
      <c r="AY335" s="3"/>
      <c r="AZ335" s="3"/>
      <c r="BA335" s="3"/>
      <c r="BB335" s="3"/>
      <c r="BC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84"/>
      <c r="AX336" s="85"/>
      <c r="AY336" s="3"/>
      <c r="AZ336" s="3"/>
      <c r="BA336" s="3"/>
      <c r="BB336" s="3"/>
      <c r="BC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84"/>
      <c r="AX337" s="85"/>
      <c r="AY337" s="3"/>
      <c r="AZ337" s="3"/>
      <c r="BA337" s="3"/>
      <c r="BB337" s="3"/>
      <c r="BC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84"/>
      <c r="AX338" s="85"/>
      <c r="AY338" s="3"/>
      <c r="AZ338" s="3"/>
      <c r="BA338" s="3"/>
      <c r="BB338" s="3"/>
      <c r="BC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84"/>
      <c r="AX339" s="85"/>
      <c r="AY339" s="3"/>
      <c r="AZ339" s="3"/>
      <c r="BA339" s="3"/>
      <c r="BB339" s="3"/>
      <c r="BC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84"/>
      <c r="AX340" s="85"/>
      <c r="AY340" s="3"/>
      <c r="AZ340" s="3"/>
      <c r="BA340" s="3"/>
      <c r="BB340" s="3"/>
      <c r="BC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84"/>
      <c r="AX341" s="85"/>
      <c r="AY341" s="3"/>
      <c r="AZ341" s="3"/>
      <c r="BA341" s="3"/>
      <c r="BB341" s="3"/>
      <c r="BC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84"/>
      <c r="AX342" s="85"/>
      <c r="AY342" s="3"/>
      <c r="AZ342" s="3"/>
      <c r="BA342" s="3"/>
      <c r="BB342" s="3"/>
      <c r="BC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84"/>
      <c r="AX343" s="85"/>
      <c r="AY343" s="3"/>
      <c r="AZ343" s="3"/>
      <c r="BA343" s="3"/>
      <c r="BB343" s="3"/>
      <c r="BC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84"/>
      <c r="AX344" s="85"/>
      <c r="AY344" s="3"/>
      <c r="AZ344" s="3"/>
      <c r="BA344" s="3"/>
      <c r="BB344" s="3"/>
      <c r="BC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84"/>
      <c r="AX345" s="85"/>
      <c r="AY345" s="3"/>
      <c r="AZ345" s="3"/>
      <c r="BA345" s="3"/>
      <c r="BB345" s="3"/>
      <c r="BC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84"/>
      <c r="AX346" s="85"/>
      <c r="AY346" s="3"/>
      <c r="AZ346" s="3"/>
      <c r="BA346" s="3"/>
      <c r="BB346" s="3"/>
      <c r="BC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84"/>
      <c r="AX347" s="85"/>
      <c r="AY347" s="3"/>
      <c r="AZ347" s="3"/>
      <c r="BA347" s="3"/>
      <c r="BB347" s="3"/>
      <c r="BC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84"/>
      <c r="AX348" s="85"/>
      <c r="AY348" s="3"/>
      <c r="AZ348" s="3"/>
      <c r="BA348" s="3"/>
      <c r="BB348" s="3"/>
      <c r="BC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84"/>
      <c r="AX349" s="85"/>
      <c r="AY349" s="3"/>
      <c r="AZ349" s="3"/>
      <c r="BA349" s="3"/>
      <c r="BB349" s="3"/>
      <c r="BC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84"/>
      <c r="AX350" s="85"/>
      <c r="AY350" s="3"/>
      <c r="AZ350" s="3"/>
      <c r="BA350" s="3"/>
      <c r="BB350" s="3"/>
      <c r="BC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84"/>
      <c r="AX351" s="85"/>
      <c r="AY351" s="3"/>
      <c r="AZ351" s="3"/>
      <c r="BA351" s="3"/>
      <c r="BB351" s="3"/>
      <c r="BC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84"/>
      <c r="AX352" s="85"/>
      <c r="AY352" s="3"/>
      <c r="AZ352" s="3"/>
      <c r="BA352" s="3"/>
      <c r="BB352" s="3"/>
      <c r="BC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84"/>
      <c r="AX353" s="85"/>
      <c r="AY353" s="3"/>
      <c r="AZ353" s="3"/>
      <c r="BA353" s="3"/>
      <c r="BB353" s="3"/>
      <c r="BC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84"/>
      <c r="AX354" s="85"/>
      <c r="AY354" s="3"/>
      <c r="AZ354" s="3"/>
      <c r="BA354" s="3"/>
      <c r="BB354" s="3"/>
      <c r="BC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84"/>
      <c r="AX355" s="85"/>
      <c r="AY355" s="3"/>
      <c r="AZ355" s="3"/>
      <c r="BA355" s="3"/>
      <c r="BB355" s="3"/>
      <c r="BC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84"/>
      <c r="AX356" s="85"/>
      <c r="AY356" s="3"/>
      <c r="AZ356" s="3"/>
      <c r="BA356" s="3"/>
      <c r="BB356" s="3"/>
      <c r="BC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84"/>
      <c r="AX357" s="85"/>
      <c r="AY357" s="3"/>
      <c r="AZ357" s="3"/>
      <c r="BA357" s="3"/>
      <c r="BB357" s="3"/>
      <c r="BC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84"/>
      <c r="AX358" s="85"/>
      <c r="AY358" s="3"/>
      <c r="AZ358" s="3"/>
      <c r="BA358" s="3"/>
      <c r="BB358" s="3"/>
      <c r="BC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84"/>
      <c r="AX359" s="85"/>
      <c r="AY359" s="3"/>
      <c r="AZ359" s="3"/>
      <c r="BA359" s="3"/>
      <c r="BB359" s="3"/>
      <c r="BC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84"/>
      <c r="AX360" s="85"/>
      <c r="AY360" s="3"/>
      <c r="AZ360" s="3"/>
      <c r="BA360" s="3"/>
      <c r="BB360" s="3"/>
      <c r="BC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84"/>
      <c r="AX361" s="85"/>
      <c r="AY361" s="3"/>
      <c r="AZ361" s="3"/>
      <c r="BA361" s="3"/>
      <c r="BB361" s="3"/>
      <c r="BC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84"/>
      <c r="AX362" s="85"/>
      <c r="AY362" s="3"/>
      <c r="AZ362" s="3"/>
      <c r="BA362" s="3"/>
      <c r="BB362" s="3"/>
      <c r="BC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84"/>
      <c r="AX363" s="85"/>
      <c r="AY363" s="3"/>
      <c r="AZ363" s="3"/>
      <c r="BA363" s="3"/>
      <c r="BB363" s="3"/>
      <c r="BC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84"/>
      <c r="AX364" s="85"/>
      <c r="AY364" s="3"/>
      <c r="AZ364" s="3"/>
      <c r="BA364" s="3"/>
      <c r="BB364" s="3"/>
      <c r="BC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84"/>
      <c r="AX365" s="85"/>
      <c r="AY365" s="3"/>
      <c r="AZ365" s="3"/>
      <c r="BA365" s="3"/>
      <c r="BB365" s="3"/>
      <c r="BC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84"/>
      <c r="AX366" s="85"/>
      <c r="AY366" s="3"/>
      <c r="AZ366" s="3"/>
      <c r="BA366" s="3"/>
      <c r="BB366" s="3"/>
      <c r="BC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84"/>
      <c r="AX367" s="85"/>
      <c r="AY367" s="3"/>
      <c r="AZ367" s="3"/>
      <c r="BA367" s="3"/>
      <c r="BB367" s="3"/>
      <c r="BC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84"/>
      <c r="AX368" s="85"/>
      <c r="AY368" s="3"/>
      <c r="AZ368" s="3"/>
      <c r="BA368" s="3"/>
      <c r="BB368" s="3"/>
      <c r="BC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84"/>
      <c r="AX369" s="85"/>
      <c r="AY369" s="3"/>
      <c r="AZ369" s="3"/>
      <c r="BA369" s="3"/>
      <c r="BB369" s="3"/>
      <c r="BC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84"/>
      <c r="AX370" s="85"/>
      <c r="AY370" s="3"/>
      <c r="AZ370" s="3"/>
      <c r="BA370" s="3"/>
      <c r="BB370" s="3"/>
      <c r="BC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84"/>
      <c r="AX371" s="85"/>
      <c r="AY371" s="3"/>
      <c r="AZ371" s="3"/>
      <c r="BA371" s="3"/>
      <c r="BB371" s="3"/>
      <c r="BC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84"/>
      <c r="AX372" s="85"/>
      <c r="AY372" s="3"/>
      <c r="AZ372" s="3"/>
      <c r="BA372" s="3"/>
      <c r="BB372" s="3"/>
      <c r="BC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84"/>
      <c r="AX373" s="85"/>
      <c r="AY373" s="3"/>
      <c r="AZ373" s="3"/>
      <c r="BA373" s="3"/>
      <c r="BB373" s="3"/>
      <c r="BC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84"/>
      <c r="AX374" s="85"/>
      <c r="AY374" s="3"/>
      <c r="AZ374" s="3"/>
      <c r="BA374" s="3"/>
      <c r="BB374" s="3"/>
      <c r="BC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84"/>
      <c r="AX375" s="85"/>
      <c r="AY375" s="3"/>
      <c r="AZ375" s="3"/>
      <c r="BA375" s="3"/>
      <c r="BB375" s="3"/>
      <c r="BC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84"/>
      <c r="AX376" s="85"/>
      <c r="AY376" s="3"/>
      <c r="AZ376" s="3"/>
      <c r="BA376" s="3"/>
      <c r="BB376" s="3"/>
      <c r="BC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84"/>
      <c r="AX377" s="85"/>
      <c r="AY377" s="3"/>
      <c r="AZ377" s="3"/>
      <c r="BA377" s="3"/>
      <c r="BB377" s="3"/>
      <c r="BC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84"/>
      <c r="AX378" s="85"/>
      <c r="AY378" s="3"/>
      <c r="AZ378" s="3"/>
      <c r="BA378" s="3"/>
      <c r="BB378" s="3"/>
      <c r="BC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84"/>
      <c r="AX379" s="85"/>
      <c r="AY379" s="3"/>
      <c r="AZ379" s="3"/>
      <c r="BA379" s="3"/>
      <c r="BB379" s="3"/>
      <c r="BC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84"/>
      <c r="AX380" s="85"/>
      <c r="AY380" s="3"/>
      <c r="AZ380" s="3"/>
      <c r="BA380" s="3"/>
      <c r="BB380" s="3"/>
      <c r="BC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84"/>
      <c r="AX381" s="85"/>
      <c r="AY381" s="3"/>
      <c r="AZ381" s="3"/>
      <c r="BA381" s="3"/>
      <c r="BB381" s="3"/>
      <c r="BC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84"/>
      <c r="AX382" s="85"/>
      <c r="AY382" s="3"/>
      <c r="AZ382" s="3"/>
      <c r="BA382" s="3"/>
      <c r="BB382" s="3"/>
      <c r="BC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84"/>
      <c r="AX383" s="85"/>
      <c r="AY383" s="3"/>
      <c r="AZ383" s="3"/>
      <c r="BA383" s="3"/>
      <c r="BB383" s="3"/>
      <c r="BC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84"/>
      <c r="AX384" s="85"/>
      <c r="AY384" s="3"/>
      <c r="AZ384" s="3"/>
      <c r="BA384" s="3"/>
      <c r="BB384" s="3"/>
      <c r="BC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84"/>
      <c r="AX385" s="85"/>
      <c r="AY385" s="3"/>
      <c r="AZ385" s="3"/>
      <c r="BA385" s="3"/>
      <c r="BB385" s="3"/>
      <c r="BC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84"/>
      <c r="AX386" s="85"/>
      <c r="AY386" s="3"/>
      <c r="AZ386" s="3"/>
      <c r="BA386" s="3"/>
      <c r="BB386" s="3"/>
      <c r="BC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84"/>
      <c r="AX387" s="85"/>
      <c r="AY387" s="3"/>
      <c r="AZ387" s="3"/>
      <c r="BA387" s="3"/>
      <c r="BB387" s="3"/>
      <c r="BC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84"/>
      <c r="AX388" s="85"/>
      <c r="AY388" s="3"/>
      <c r="AZ388" s="3"/>
      <c r="BA388" s="3"/>
      <c r="BB388" s="3"/>
      <c r="BC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84"/>
      <c r="AX389" s="85"/>
      <c r="AY389" s="3"/>
      <c r="AZ389" s="3"/>
      <c r="BA389" s="3"/>
      <c r="BB389" s="3"/>
      <c r="BC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84"/>
      <c r="AX390" s="85"/>
      <c r="AY390" s="3"/>
      <c r="AZ390" s="3"/>
      <c r="BA390" s="3"/>
      <c r="BB390" s="3"/>
      <c r="BC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84"/>
      <c r="AX391" s="85"/>
      <c r="AY391" s="3"/>
      <c r="AZ391" s="3"/>
      <c r="BA391" s="3"/>
      <c r="BB391" s="3"/>
      <c r="BC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84"/>
      <c r="AX392" s="85"/>
      <c r="AY392" s="3"/>
      <c r="AZ392" s="3"/>
      <c r="BA392" s="3"/>
      <c r="BB392" s="3"/>
      <c r="BC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84"/>
      <c r="AX393" s="85"/>
      <c r="AY393" s="3"/>
      <c r="AZ393" s="3"/>
      <c r="BA393" s="3"/>
      <c r="BB393" s="3"/>
      <c r="BC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84"/>
      <c r="AX394" s="85"/>
      <c r="AY394" s="3"/>
      <c r="AZ394" s="3"/>
      <c r="BA394" s="3"/>
      <c r="BB394" s="3"/>
      <c r="BC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84"/>
      <c r="AX395" s="85"/>
      <c r="AY395" s="3"/>
      <c r="AZ395" s="3"/>
      <c r="BA395" s="3"/>
      <c r="BB395" s="3"/>
      <c r="BC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84"/>
      <c r="AX396" s="85"/>
      <c r="AY396" s="3"/>
      <c r="AZ396" s="3"/>
      <c r="BA396" s="3"/>
      <c r="BB396" s="3"/>
      <c r="BC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84"/>
      <c r="AX397" s="85"/>
      <c r="AY397" s="3"/>
      <c r="AZ397" s="3"/>
      <c r="BA397" s="3"/>
      <c r="BB397" s="3"/>
      <c r="BC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84"/>
      <c r="AX398" s="85"/>
      <c r="AY398" s="3"/>
      <c r="AZ398" s="3"/>
      <c r="BA398" s="3"/>
      <c r="BB398" s="3"/>
      <c r="BC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84"/>
      <c r="AX399" s="85"/>
      <c r="AY399" s="3"/>
      <c r="AZ399" s="3"/>
      <c r="BA399" s="3"/>
      <c r="BB399" s="3"/>
      <c r="BC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84"/>
      <c r="AX400" s="85"/>
      <c r="AY400" s="3"/>
      <c r="AZ400" s="3"/>
      <c r="BA400" s="3"/>
      <c r="BB400" s="3"/>
      <c r="BC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84"/>
      <c r="AX401" s="85"/>
      <c r="AY401" s="3"/>
      <c r="AZ401" s="3"/>
      <c r="BA401" s="3"/>
      <c r="BB401" s="3"/>
      <c r="BC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84"/>
      <c r="AX402" s="85"/>
      <c r="AY402" s="3"/>
      <c r="AZ402" s="3"/>
      <c r="BA402" s="3"/>
      <c r="BB402" s="3"/>
      <c r="BC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84"/>
      <c r="AX403" s="85"/>
      <c r="AY403" s="3"/>
      <c r="AZ403" s="3"/>
      <c r="BA403" s="3"/>
      <c r="BB403" s="3"/>
      <c r="BC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84"/>
      <c r="AX404" s="85"/>
      <c r="AY404" s="3"/>
      <c r="AZ404" s="3"/>
      <c r="BA404" s="3"/>
      <c r="BB404" s="3"/>
      <c r="BC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84"/>
      <c r="AX405" s="85"/>
      <c r="AY405" s="3"/>
      <c r="AZ405" s="3"/>
      <c r="BA405" s="3"/>
      <c r="BB405" s="3"/>
      <c r="BC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84"/>
      <c r="AX406" s="85"/>
      <c r="AY406" s="3"/>
      <c r="AZ406" s="3"/>
      <c r="BA406" s="3"/>
      <c r="BB406" s="3"/>
      <c r="BC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84"/>
      <c r="AX407" s="85"/>
      <c r="AY407" s="3"/>
      <c r="AZ407" s="3"/>
      <c r="BA407" s="3"/>
      <c r="BB407" s="3"/>
      <c r="BC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84"/>
      <c r="AX408" s="85"/>
      <c r="AY408" s="3"/>
      <c r="AZ408" s="3"/>
      <c r="BA408" s="3"/>
      <c r="BB408" s="3"/>
      <c r="BC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84"/>
      <c r="AX409" s="85"/>
      <c r="AY409" s="3"/>
      <c r="AZ409" s="3"/>
      <c r="BA409" s="3"/>
      <c r="BB409" s="3"/>
      <c r="BC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84"/>
      <c r="AX410" s="85"/>
      <c r="AY410" s="3"/>
      <c r="AZ410" s="3"/>
      <c r="BA410" s="3"/>
      <c r="BB410" s="3"/>
      <c r="BC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84"/>
      <c r="AX411" s="85"/>
      <c r="AY411" s="3"/>
      <c r="AZ411" s="3"/>
      <c r="BA411" s="3"/>
      <c r="BB411" s="3"/>
      <c r="BC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84"/>
      <c r="AX412" s="85"/>
      <c r="AY412" s="3"/>
      <c r="AZ412" s="3"/>
      <c r="BA412" s="3"/>
      <c r="BB412" s="3"/>
      <c r="BC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84"/>
      <c r="AX413" s="85"/>
      <c r="AY413" s="3"/>
      <c r="AZ413" s="3"/>
      <c r="BA413" s="3"/>
      <c r="BB413" s="3"/>
      <c r="BC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84"/>
      <c r="AX414" s="85"/>
      <c r="AY414" s="3"/>
      <c r="AZ414" s="3"/>
      <c r="BA414" s="3"/>
      <c r="BB414" s="3"/>
      <c r="BC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84"/>
      <c r="AX415" s="85"/>
      <c r="AY415" s="3"/>
      <c r="AZ415" s="3"/>
      <c r="BA415" s="3"/>
      <c r="BB415" s="3"/>
      <c r="BC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84"/>
      <c r="AX416" s="85"/>
      <c r="AY416" s="3"/>
      <c r="AZ416" s="3"/>
      <c r="BA416" s="3"/>
      <c r="BB416" s="3"/>
      <c r="BC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84"/>
      <c r="AX417" s="85"/>
      <c r="AY417" s="3"/>
      <c r="AZ417" s="3"/>
      <c r="BA417" s="3"/>
      <c r="BB417" s="3"/>
      <c r="BC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84"/>
      <c r="AX418" s="85"/>
      <c r="AY418" s="3"/>
      <c r="AZ418" s="3"/>
      <c r="BA418" s="3"/>
      <c r="BB418" s="3"/>
      <c r="BC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84"/>
      <c r="AX419" s="85"/>
      <c r="AY419" s="3"/>
      <c r="AZ419" s="3"/>
      <c r="BA419" s="3"/>
      <c r="BB419" s="3"/>
      <c r="BC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84"/>
      <c r="AX420" s="85"/>
      <c r="AY420" s="3"/>
      <c r="AZ420" s="3"/>
      <c r="BA420" s="3"/>
      <c r="BB420" s="3"/>
      <c r="BC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84"/>
      <c r="AX421" s="85"/>
      <c r="AY421" s="3"/>
      <c r="AZ421" s="3"/>
      <c r="BA421" s="3"/>
      <c r="BB421" s="3"/>
      <c r="BC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84"/>
      <c r="AX422" s="85"/>
      <c r="AY422" s="3"/>
      <c r="AZ422" s="3"/>
      <c r="BA422" s="3"/>
      <c r="BB422" s="3"/>
      <c r="BC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84"/>
      <c r="AX423" s="85"/>
      <c r="AY423" s="3"/>
      <c r="AZ423" s="3"/>
      <c r="BA423" s="3"/>
      <c r="BB423" s="3"/>
      <c r="BC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84"/>
      <c r="AX424" s="85"/>
      <c r="AY424" s="3"/>
      <c r="AZ424" s="3"/>
      <c r="BA424" s="3"/>
      <c r="BB424" s="3"/>
      <c r="BC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84"/>
      <c r="AX425" s="85"/>
      <c r="AY425" s="3"/>
      <c r="AZ425" s="3"/>
      <c r="BA425" s="3"/>
      <c r="BB425" s="3"/>
      <c r="BC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84"/>
      <c r="AX426" s="85"/>
      <c r="AY426" s="3"/>
      <c r="AZ426" s="3"/>
      <c r="BA426" s="3"/>
      <c r="BB426" s="3"/>
      <c r="BC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84"/>
      <c r="AX427" s="85"/>
      <c r="AY427" s="3"/>
      <c r="AZ427" s="3"/>
      <c r="BA427" s="3"/>
      <c r="BB427" s="3"/>
      <c r="BC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84"/>
      <c r="AX428" s="85"/>
      <c r="AY428" s="3"/>
      <c r="AZ428" s="3"/>
      <c r="BA428" s="3"/>
      <c r="BB428" s="3"/>
      <c r="BC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84"/>
      <c r="AX429" s="85"/>
      <c r="AY429" s="3"/>
      <c r="AZ429" s="3"/>
      <c r="BA429" s="3"/>
      <c r="BB429" s="3"/>
      <c r="BC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84"/>
      <c r="AX430" s="85"/>
      <c r="AY430" s="3"/>
      <c r="AZ430" s="3"/>
      <c r="BA430" s="3"/>
      <c r="BB430" s="3"/>
      <c r="BC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84"/>
      <c r="AX431" s="85"/>
      <c r="AY431" s="3"/>
      <c r="AZ431" s="3"/>
      <c r="BA431" s="3"/>
      <c r="BB431" s="3"/>
      <c r="BC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84"/>
      <c r="AX432" s="85"/>
      <c r="AY432" s="3"/>
      <c r="AZ432" s="3"/>
      <c r="BA432" s="3"/>
      <c r="BB432" s="3"/>
      <c r="BC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84"/>
      <c r="AX433" s="85"/>
      <c r="AY433" s="3"/>
      <c r="AZ433" s="3"/>
      <c r="BA433" s="3"/>
      <c r="BB433" s="3"/>
      <c r="BC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84"/>
      <c r="AX434" s="85"/>
      <c r="AY434" s="3"/>
      <c r="AZ434" s="3"/>
      <c r="BA434" s="3"/>
      <c r="BB434" s="3"/>
      <c r="BC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84"/>
      <c r="AX435" s="85"/>
      <c r="AY435" s="3"/>
      <c r="AZ435" s="3"/>
      <c r="BA435" s="3"/>
      <c r="BB435" s="3"/>
      <c r="BC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84"/>
      <c r="AX436" s="85"/>
      <c r="AY436" s="3"/>
      <c r="AZ436" s="3"/>
      <c r="BA436" s="3"/>
      <c r="BB436" s="3"/>
      <c r="BC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84"/>
      <c r="AX437" s="85"/>
      <c r="AY437" s="3"/>
      <c r="AZ437" s="3"/>
      <c r="BA437" s="3"/>
      <c r="BB437" s="3"/>
      <c r="BC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84"/>
      <c r="AX438" s="85"/>
      <c r="AY438" s="3"/>
      <c r="AZ438" s="3"/>
      <c r="BA438" s="3"/>
      <c r="BB438" s="3"/>
      <c r="BC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84"/>
      <c r="AX439" s="85"/>
      <c r="AY439" s="3"/>
      <c r="AZ439" s="3"/>
      <c r="BA439" s="3"/>
      <c r="BB439" s="3"/>
      <c r="BC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84"/>
      <c r="AX440" s="85"/>
      <c r="AY440" s="3"/>
      <c r="AZ440" s="3"/>
      <c r="BA440" s="3"/>
      <c r="BB440" s="3"/>
      <c r="BC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84"/>
      <c r="AX441" s="85"/>
      <c r="AY441" s="3"/>
      <c r="AZ441" s="3"/>
      <c r="BA441" s="3"/>
      <c r="BB441" s="3"/>
      <c r="BC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84"/>
      <c r="AX442" s="85"/>
      <c r="AY442" s="3"/>
      <c r="AZ442" s="3"/>
      <c r="BA442" s="3"/>
      <c r="BB442" s="3"/>
      <c r="BC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84"/>
      <c r="AX443" s="85"/>
      <c r="AY443" s="3"/>
      <c r="AZ443" s="3"/>
      <c r="BA443" s="3"/>
      <c r="BB443" s="3"/>
      <c r="BC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84"/>
      <c r="AX444" s="85"/>
      <c r="AY444" s="3"/>
      <c r="AZ444" s="3"/>
      <c r="BA444" s="3"/>
      <c r="BB444" s="3"/>
      <c r="BC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84"/>
      <c r="AX445" s="85"/>
      <c r="AY445" s="3"/>
      <c r="AZ445" s="3"/>
      <c r="BA445" s="3"/>
      <c r="BB445" s="3"/>
      <c r="BC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84"/>
      <c r="AX446" s="85"/>
      <c r="AY446" s="3"/>
      <c r="AZ446" s="3"/>
      <c r="BA446" s="3"/>
      <c r="BB446" s="3"/>
      <c r="BC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84"/>
      <c r="AX447" s="85"/>
      <c r="AY447" s="3"/>
      <c r="AZ447" s="3"/>
      <c r="BA447" s="3"/>
      <c r="BB447" s="3"/>
      <c r="BC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84"/>
      <c r="AX448" s="85"/>
      <c r="AY448" s="3"/>
      <c r="AZ448" s="3"/>
      <c r="BA448" s="3"/>
      <c r="BB448" s="3"/>
      <c r="BC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84"/>
      <c r="AX449" s="85"/>
      <c r="AY449" s="3"/>
      <c r="AZ449" s="3"/>
      <c r="BA449" s="3"/>
      <c r="BB449" s="3"/>
      <c r="BC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84"/>
      <c r="AX450" s="85"/>
      <c r="AY450" s="3"/>
      <c r="AZ450" s="3"/>
      <c r="BA450" s="3"/>
      <c r="BB450" s="3"/>
      <c r="BC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84"/>
      <c r="AX451" s="85"/>
      <c r="AY451" s="3"/>
      <c r="AZ451" s="3"/>
      <c r="BA451" s="3"/>
      <c r="BB451" s="3"/>
      <c r="BC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84"/>
      <c r="AX452" s="85"/>
      <c r="AY452" s="3"/>
      <c r="AZ452" s="3"/>
      <c r="BA452" s="3"/>
      <c r="BB452" s="3"/>
      <c r="BC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84"/>
      <c r="AX453" s="85"/>
      <c r="AY453" s="3"/>
      <c r="AZ453" s="3"/>
      <c r="BA453" s="3"/>
      <c r="BB453" s="3"/>
      <c r="BC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84"/>
      <c r="AX454" s="85"/>
      <c r="AY454" s="3"/>
      <c r="AZ454" s="3"/>
      <c r="BA454" s="3"/>
      <c r="BB454" s="3"/>
      <c r="BC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84"/>
      <c r="AX455" s="85"/>
      <c r="AY455" s="3"/>
      <c r="AZ455" s="3"/>
      <c r="BA455" s="3"/>
      <c r="BB455" s="3"/>
      <c r="BC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84"/>
      <c r="AX456" s="85"/>
      <c r="AY456" s="3"/>
      <c r="AZ456" s="3"/>
      <c r="BA456" s="3"/>
      <c r="BB456" s="3"/>
      <c r="BC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84"/>
      <c r="AX457" s="85"/>
      <c r="AY457" s="3"/>
      <c r="AZ457" s="3"/>
      <c r="BA457" s="3"/>
      <c r="BB457" s="3"/>
      <c r="BC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84"/>
      <c r="AX458" s="85"/>
      <c r="AY458" s="3"/>
      <c r="AZ458" s="3"/>
      <c r="BA458" s="3"/>
      <c r="BB458" s="3"/>
      <c r="BC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84"/>
      <c r="AX459" s="85"/>
      <c r="AY459" s="3"/>
      <c r="AZ459" s="3"/>
      <c r="BA459" s="3"/>
      <c r="BB459" s="3"/>
      <c r="BC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84"/>
      <c r="AX460" s="85"/>
      <c r="AY460" s="3"/>
      <c r="AZ460" s="3"/>
      <c r="BA460" s="3"/>
      <c r="BB460" s="3"/>
      <c r="BC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84"/>
      <c r="AX461" s="85"/>
      <c r="AY461" s="3"/>
      <c r="AZ461" s="3"/>
      <c r="BA461" s="3"/>
      <c r="BB461" s="3"/>
      <c r="BC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84"/>
      <c r="AX462" s="85"/>
      <c r="AY462" s="3"/>
      <c r="AZ462" s="3"/>
      <c r="BA462" s="3"/>
      <c r="BB462" s="3"/>
      <c r="BC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84"/>
      <c r="AX463" s="85"/>
      <c r="AY463" s="3"/>
      <c r="AZ463" s="3"/>
      <c r="BA463" s="3"/>
      <c r="BB463" s="3"/>
      <c r="BC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84"/>
      <c r="AX464" s="85"/>
      <c r="AY464" s="3"/>
      <c r="AZ464" s="3"/>
      <c r="BA464" s="3"/>
      <c r="BB464" s="3"/>
      <c r="BC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84"/>
      <c r="AX465" s="85"/>
      <c r="AY465" s="3"/>
      <c r="AZ465" s="3"/>
      <c r="BA465" s="3"/>
      <c r="BB465" s="3"/>
      <c r="BC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84"/>
      <c r="AX466" s="85"/>
      <c r="AY466" s="3"/>
      <c r="AZ466" s="3"/>
      <c r="BA466" s="3"/>
      <c r="BB466" s="3"/>
      <c r="BC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84"/>
      <c r="AX467" s="85"/>
      <c r="AY467" s="3"/>
      <c r="AZ467" s="3"/>
      <c r="BA467" s="3"/>
      <c r="BB467" s="3"/>
      <c r="BC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84"/>
      <c r="AX468" s="85"/>
      <c r="AY468" s="3"/>
      <c r="AZ468" s="3"/>
      <c r="BA468" s="3"/>
      <c r="BB468" s="3"/>
      <c r="BC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84"/>
      <c r="AX469" s="85"/>
      <c r="AY469" s="3"/>
      <c r="AZ469" s="3"/>
      <c r="BA469" s="3"/>
      <c r="BB469" s="3"/>
      <c r="BC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84"/>
      <c r="AX470" s="85"/>
      <c r="AY470" s="3"/>
      <c r="AZ470" s="3"/>
      <c r="BA470" s="3"/>
      <c r="BB470" s="3"/>
      <c r="BC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84"/>
      <c r="AX471" s="85"/>
      <c r="AY471" s="3"/>
      <c r="AZ471" s="3"/>
      <c r="BA471" s="3"/>
      <c r="BB471" s="3"/>
      <c r="BC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84"/>
      <c r="AX472" s="85"/>
      <c r="AY472" s="3"/>
      <c r="AZ472" s="3"/>
      <c r="BA472" s="3"/>
      <c r="BB472" s="3"/>
      <c r="BC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84"/>
      <c r="AX473" s="85"/>
      <c r="AY473" s="3"/>
      <c r="AZ473" s="3"/>
      <c r="BA473" s="3"/>
      <c r="BB473" s="3"/>
      <c r="BC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84"/>
      <c r="AX474" s="85"/>
      <c r="AY474" s="3"/>
      <c r="AZ474" s="3"/>
      <c r="BA474" s="3"/>
      <c r="BB474" s="3"/>
      <c r="BC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84"/>
      <c r="AX475" s="85"/>
      <c r="AY475" s="3"/>
      <c r="AZ475" s="3"/>
      <c r="BA475" s="3"/>
      <c r="BB475" s="3"/>
      <c r="BC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84"/>
      <c r="AX476" s="85"/>
      <c r="AY476" s="3"/>
      <c r="AZ476" s="3"/>
      <c r="BA476" s="3"/>
      <c r="BB476" s="3"/>
      <c r="BC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84"/>
      <c r="AX477" s="85"/>
      <c r="AY477" s="3"/>
      <c r="AZ477" s="3"/>
      <c r="BA477" s="3"/>
      <c r="BB477" s="3"/>
      <c r="BC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84"/>
      <c r="AX478" s="85"/>
      <c r="AY478" s="3"/>
      <c r="AZ478" s="3"/>
      <c r="BA478" s="3"/>
      <c r="BB478" s="3"/>
      <c r="BC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84"/>
      <c r="AX479" s="85"/>
      <c r="AY479" s="3"/>
      <c r="AZ479" s="3"/>
      <c r="BA479" s="3"/>
      <c r="BB479" s="3"/>
      <c r="BC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84"/>
      <c r="AX480" s="85"/>
      <c r="AY480" s="3"/>
      <c r="AZ480" s="3"/>
      <c r="BA480" s="3"/>
      <c r="BB480" s="3"/>
      <c r="BC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84"/>
      <c r="AX481" s="85"/>
      <c r="AY481" s="3"/>
      <c r="AZ481" s="3"/>
      <c r="BA481" s="3"/>
      <c r="BB481" s="3"/>
      <c r="BC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84"/>
      <c r="AX482" s="85"/>
      <c r="AY482" s="3"/>
      <c r="AZ482" s="3"/>
      <c r="BA482" s="3"/>
      <c r="BB482" s="3"/>
      <c r="BC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84"/>
      <c r="AX483" s="85"/>
      <c r="AY483" s="3"/>
      <c r="AZ483" s="3"/>
      <c r="BA483" s="3"/>
      <c r="BB483" s="3"/>
      <c r="BC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84"/>
      <c r="AX484" s="85"/>
      <c r="AY484" s="3"/>
      <c r="AZ484" s="3"/>
      <c r="BA484" s="3"/>
      <c r="BB484" s="3"/>
      <c r="BC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84"/>
      <c r="AX485" s="85"/>
      <c r="AY485" s="3"/>
      <c r="AZ485" s="3"/>
      <c r="BA485" s="3"/>
      <c r="BB485" s="3"/>
      <c r="BC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84"/>
      <c r="AX486" s="85"/>
      <c r="AY486" s="3"/>
      <c r="AZ486" s="3"/>
      <c r="BA486" s="3"/>
      <c r="BB486" s="3"/>
      <c r="BC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84"/>
      <c r="AX487" s="85"/>
      <c r="AY487" s="3"/>
      <c r="AZ487" s="3"/>
      <c r="BA487" s="3"/>
      <c r="BB487" s="3"/>
      <c r="BC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84"/>
      <c r="AX488" s="85"/>
      <c r="AY488" s="3"/>
      <c r="AZ488" s="3"/>
      <c r="BA488" s="3"/>
      <c r="BB488" s="3"/>
      <c r="BC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84"/>
      <c r="AX489" s="85"/>
      <c r="AY489" s="3"/>
      <c r="AZ489" s="3"/>
      <c r="BA489" s="3"/>
      <c r="BB489" s="3"/>
      <c r="BC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84"/>
      <c r="AX490" s="85"/>
      <c r="AY490" s="3"/>
      <c r="AZ490" s="3"/>
      <c r="BA490" s="3"/>
      <c r="BB490" s="3"/>
      <c r="BC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84"/>
      <c r="AX491" s="85"/>
      <c r="AY491" s="3"/>
      <c r="AZ491" s="3"/>
      <c r="BA491" s="3"/>
      <c r="BB491" s="3"/>
      <c r="BC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84"/>
      <c r="AX492" s="85"/>
      <c r="AY492" s="3"/>
      <c r="AZ492" s="3"/>
      <c r="BA492" s="3"/>
      <c r="BB492" s="3"/>
      <c r="BC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84"/>
      <c r="AX493" s="85"/>
      <c r="AY493" s="3"/>
      <c r="AZ493" s="3"/>
      <c r="BA493" s="3"/>
      <c r="BB493" s="3"/>
      <c r="BC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84"/>
      <c r="AX494" s="85"/>
      <c r="AY494" s="3"/>
      <c r="AZ494" s="3"/>
      <c r="BA494" s="3"/>
      <c r="BB494" s="3"/>
      <c r="BC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84"/>
      <c r="AX495" s="85"/>
      <c r="AY495" s="3"/>
      <c r="AZ495" s="3"/>
      <c r="BA495" s="3"/>
      <c r="BB495" s="3"/>
      <c r="BC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84"/>
      <c r="AX496" s="85"/>
      <c r="AY496" s="3"/>
      <c r="AZ496" s="3"/>
      <c r="BA496" s="3"/>
      <c r="BB496" s="3"/>
      <c r="BC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84"/>
      <c r="AX497" s="85"/>
      <c r="AY497" s="3"/>
      <c r="AZ497" s="3"/>
      <c r="BA497" s="3"/>
      <c r="BB497" s="3"/>
      <c r="BC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84"/>
      <c r="AX498" s="85"/>
      <c r="AY498" s="3"/>
      <c r="AZ498" s="3"/>
      <c r="BA498" s="3"/>
      <c r="BB498" s="3"/>
      <c r="BC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84"/>
      <c r="AX499" s="85"/>
      <c r="AY499" s="3"/>
      <c r="AZ499" s="3"/>
      <c r="BA499" s="3"/>
      <c r="BB499" s="3"/>
      <c r="BC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84"/>
      <c r="AX500" s="85"/>
      <c r="AY500" s="3"/>
      <c r="AZ500" s="3"/>
      <c r="BA500" s="3"/>
      <c r="BB500" s="3"/>
      <c r="BC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84"/>
      <c r="AX501" s="85"/>
      <c r="AY501" s="3"/>
      <c r="AZ501" s="3"/>
      <c r="BA501" s="3"/>
      <c r="BB501" s="3"/>
      <c r="BC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84"/>
      <c r="AX502" s="85"/>
      <c r="AY502" s="3"/>
      <c r="AZ502" s="3"/>
      <c r="BA502" s="3"/>
      <c r="BB502" s="3"/>
      <c r="BC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84"/>
      <c r="AX503" s="85"/>
      <c r="AY503" s="3"/>
      <c r="AZ503" s="3"/>
      <c r="BA503" s="3"/>
      <c r="BB503" s="3"/>
      <c r="BC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84"/>
      <c r="AX504" s="85"/>
      <c r="AY504" s="3"/>
      <c r="AZ504" s="3"/>
      <c r="BA504" s="3"/>
      <c r="BB504" s="3"/>
      <c r="BC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84"/>
      <c r="AX505" s="85"/>
      <c r="AY505" s="3"/>
      <c r="AZ505" s="3"/>
      <c r="BA505" s="3"/>
      <c r="BB505" s="3"/>
      <c r="BC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84"/>
      <c r="AX506" s="85"/>
      <c r="AY506" s="3"/>
      <c r="AZ506" s="3"/>
      <c r="BA506" s="3"/>
      <c r="BB506" s="3"/>
      <c r="BC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84"/>
      <c r="AX507" s="85"/>
      <c r="AY507" s="3"/>
      <c r="AZ507" s="3"/>
      <c r="BA507" s="3"/>
      <c r="BB507" s="3"/>
      <c r="BC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84"/>
      <c r="AX508" s="85"/>
      <c r="AY508" s="3"/>
      <c r="AZ508" s="3"/>
      <c r="BA508" s="3"/>
      <c r="BB508" s="3"/>
      <c r="BC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84"/>
      <c r="AX509" s="85"/>
      <c r="AY509" s="3"/>
      <c r="AZ509" s="3"/>
      <c r="BA509" s="3"/>
      <c r="BB509" s="3"/>
      <c r="BC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84"/>
      <c r="AX510" s="85"/>
      <c r="AY510" s="3"/>
      <c r="AZ510" s="3"/>
      <c r="BA510" s="3"/>
      <c r="BB510" s="3"/>
      <c r="BC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84"/>
      <c r="AX511" s="85"/>
      <c r="AY511" s="3"/>
      <c r="AZ511" s="3"/>
      <c r="BA511" s="3"/>
      <c r="BB511" s="3"/>
      <c r="BC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84"/>
      <c r="AX512" s="85"/>
      <c r="AY512" s="3"/>
      <c r="AZ512" s="3"/>
      <c r="BA512" s="3"/>
      <c r="BB512" s="3"/>
      <c r="BC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84"/>
      <c r="AX513" s="85"/>
      <c r="AY513" s="3"/>
      <c r="AZ513" s="3"/>
      <c r="BA513" s="3"/>
      <c r="BB513" s="3"/>
      <c r="BC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84"/>
      <c r="AX514" s="85"/>
      <c r="AY514" s="3"/>
      <c r="AZ514" s="3"/>
      <c r="BA514" s="3"/>
      <c r="BB514" s="3"/>
      <c r="BC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84"/>
      <c r="AX515" s="85"/>
      <c r="AY515" s="3"/>
      <c r="AZ515" s="3"/>
      <c r="BA515" s="3"/>
      <c r="BB515" s="3"/>
      <c r="BC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84"/>
      <c r="AX516" s="85"/>
      <c r="AY516" s="3"/>
      <c r="AZ516" s="3"/>
      <c r="BA516" s="3"/>
      <c r="BB516" s="3"/>
      <c r="BC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84"/>
      <c r="AX517" s="85"/>
      <c r="AY517" s="3"/>
      <c r="AZ517" s="3"/>
      <c r="BA517" s="3"/>
      <c r="BB517" s="3"/>
      <c r="BC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84"/>
      <c r="AX518" s="85"/>
      <c r="AY518" s="3"/>
      <c r="AZ518" s="3"/>
      <c r="BA518" s="3"/>
      <c r="BB518" s="3"/>
      <c r="BC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84"/>
      <c r="AX519" s="85"/>
      <c r="AY519" s="3"/>
      <c r="AZ519" s="3"/>
      <c r="BA519" s="3"/>
      <c r="BB519" s="3"/>
      <c r="BC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84"/>
      <c r="AX520" s="85"/>
      <c r="AY520" s="3"/>
      <c r="AZ520" s="3"/>
      <c r="BA520" s="3"/>
      <c r="BB520" s="3"/>
      <c r="BC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84"/>
      <c r="AX521" s="85"/>
      <c r="AY521" s="3"/>
      <c r="AZ521" s="3"/>
      <c r="BA521" s="3"/>
      <c r="BB521" s="3"/>
      <c r="BC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84"/>
      <c r="AX522" s="85"/>
      <c r="AY522" s="3"/>
      <c r="AZ522" s="3"/>
      <c r="BA522" s="3"/>
      <c r="BB522" s="3"/>
      <c r="BC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84"/>
      <c r="AX523" s="85"/>
      <c r="AY523" s="3"/>
      <c r="AZ523" s="3"/>
      <c r="BA523" s="3"/>
      <c r="BB523" s="3"/>
      <c r="BC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84"/>
      <c r="AX524" s="85"/>
      <c r="AY524" s="3"/>
      <c r="AZ524" s="3"/>
      <c r="BA524" s="3"/>
      <c r="BB524" s="3"/>
      <c r="BC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84"/>
      <c r="AX525" s="85"/>
      <c r="AY525" s="3"/>
      <c r="AZ525" s="3"/>
      <c r="BA525" s="3"/>
      <c r="BB525" s="3"/>
      <c r="BC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84"/>
      <c r="AX526" s="85"/>
      <c r="AY526" s="3"/>
      <c r="AZ526" s="3"/>
      <c r="BA526" s="3"/>
      <c r="BB526" s="3"/>
      <c r="BC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84"/>
      <c r="AX527" s="85"/>
      <c r="AY527" s="3"/>
      <c r="AZ527" s="3"/>
      <c r="BA527" s="3"/>
      <c r="BB527" s="3"/>
      <c r="BC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84"/>
      <c r="AX528" s="85"/>
      <c r="AY528" s="3"/>
      <c r="AZ528" s="3"/>
      <c r="BA528" s="3"/>
      <c r="BB528" s="3"/>
      <c r="BC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84"/>
      <c r="AX529" s="85"/>
      <c r="AY529" s="3"/>
      <c r="AZ529" s="3"/>
      <c r="BA529" s="3"/>
      <c r="BB529" s="3"/>
      <c r="BC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84"/>
      <c r="AX530" s="85"/>
      <c r="AY530" s="3"/>
      <c r="AZ530" s="3"/>
      <c r="BA530" s="3"/>
      <c r="BB530" s="3"/>
      <c r="BC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84"/>
      <c r="AX531" s="85"/>
      <c r="AY531" s="3"/>
      <c r="AZ531" s="3"/>
      <c r="BA531" s="3"/>
      <c r="BB531" s="3"/>
      <c r="BC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84"/>
      <c r="AX532" s="85"/>
      <c r="AY532" s="3"/>
      <c r="AZ532" s="3"/>
      <c r="BA532" s="3"/>
      <c r="BB532" s="3"/>
      <c r="BC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84"/>
      <c r="AX533" s="85"/>
      <c r="AY533" s="3"/>
      <c r="AZ533" s="3"/>
      <c r="BA533" s="3"/>
      <c r="BB533" s="3"/>
      <c r="BC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84"/>
      <c r="AX534" s="85"/>
      <c r="AY534" s="3"/>
      <c r="AZ534" s="3"/>
      <c r="BA534" s="3"/>
      <c r="BB534" s="3"/>
      <c r="BC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84"/>
      <c r="AX535" s="85"/>
      <c r="AY535" s="3"/>
      <c r="AZ535" s="3"/>
      <c r="BA535" s="3"/>
      <c r="BB535" s="3"/>
      <c r="BC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84"/>
      <c r="AX536" s="85"/>
      <c r="AY536" s="3"/>
      <c r="AZ536" s="3"/>
      <c r="BA536" s="3"/>
      <c r="BB536" s="3"/>
      <c r="BC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84"/>
      <c r="AX537" s="85"/>
      <c r="AY537" s="3"/>
      <c r="AZ537" s="3"/>
      <c r="BA537" s="3"/>
      <c r="BB537" s="3"/>
      <c r="BC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84"/>
      <c r="AX538" s="85"/>
      <c r="AY538" s="3"/>
      <c r="AZ538" s="3"/>
      <c r="BA538" s="3"/>
      <c r="BB538" s="3"/>
      <c r="BC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84"/>
      <c r="AX539" s="85"/>
      <c r="AY539" s="3"/>
      <c r="AZ539" s="3"/>
      <c r="BA539" s="3"/>
      <c r="BB539" s="3"/>
      <c r="BC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84"/>
      <c r="AX540" s="85"/>
      <c r="AY540" s="3"/>
      <c r="AZ540" s="3"/>
      <c r="BA540" s="3"/>
      <c r="BB540" s="3"/>
      <c r="BC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84"/>
      <c r="AX541" s="85"/>
      <c r="AY541" s="3"/>
      <c r="AZ541" s="3"/>
      <c r="BA541" s="3"/>
      <c r="BB541" s="3"/>
      <c r="BC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84"/>
      <c r="AX542" s="85"/>
      <c r="AY542" s="3"/>
      <c r="AZ542" s="3"/>
      <c r="BA542" s="3"/>
      <c r="BB542" s="3"/>
      <c r="BC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84"/>
      <c r="AX543" s="85"/>
      <c r="AY543" s="3"/>
      <c r="AZ543" s="3"/>
      <c r="BA543" s="3"/>
      <c r="BB543" s="3"/>
      <c r="BC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84"/>
      <c r="AX544" s="85"/>
      <c r="AY544" s="3"/>
      <c r="AZ544" s="3"/>
      <c r="BA544" s="3"/>
      <c r="BB544" s="3"/>
      <c r="BC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84"/>
      <c r="AX545" s="85"/>
      <c r="AY545" s="3"/>
      <c r="AZ545" s="3"/>
      <c r="BA545" s="3"/>
      <c r="BB545" s="3"/>
      <c r="BC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84"/>
      <c r="AX546" s="85"/>
      <c r="AY546" s="3"/>
      <c r="AZ546" s="3"/>
      <c r="BA546" s="3"/>
      <c r="BB546" s="3"/>
      <c r="BC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84"/>
      <c r="AX547" s="85"/>
      <c r="AY547" s="3"/>
      <c r="AZ547" s="3"/>
      <c r="BA547" s="3"/>
      <c r="BB547" s="3"/>
      <c r="BC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84"/>
      <c r="AX548" s="85"/>
      <c r="AY548" s="3"/>
      <c r="AZ548" s="3"/>
      <c r="BA548" s="3"/>
      <c r="BB548" s="3"/>
      <c r="BC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84"/>
      <c r="AX549" s="85"/>
      <c r="AY549" s="3"/>
      <c r="AZ549" s="3"/>
      <c r="BA549" s="3"/>
      <c r="BB549" s="3"/>
      <c r="BC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84"/>
      <c r="AX550" s="85"/>
      <c r="AY550" s="3"/>
      <c r="AZ550" s="3"/>
      <c r="BA550" s="3"/>
      <c r="BB550" s="3"/>
      <c r="BC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84"/>
      <c r="AX551" s="85"/>
      <c r="AY551" s="3"/>
      <c r="AZ551" s="3"/>
      <c r="BA551" s="3"/>
      <c r="BB551" s="3"/>
      <c r="BC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84"/>
      <c r="AX552" s="85"/>
      <c r="AY552" s="3"/>
      <c r="AZ552" s="3"/>
      <c r="BA552" s="3"/>
      <c r="BB552" s="3"/>
      <c r="BC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84"/>
      <c r="AX553" s="85"/>
      <c r="AY553" s="3"/>
      <c r="AZ553" s="3"/>
      <c r="BA553" s="3"/>
      <c r="BB553" s="3"/>
      <c r="BC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84"/>
      <c r="AX554" s="85"/>
      <c r="AY554" s="3"/>
      <c r="AZ554" s="3"/>
      <c r="BA554" s="3"/>
      <c r="BB554" s="3"/>
      <c r="BC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84"/>
      <c r="AX555" s="85"/>
      <c r="AY555" s="3"/>
      <c r="AZ555" s="3"/>
      <c r="BA555" s="3"/>
      <c r="BB555" s="3"/>
      <c r="BC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84"/>
      <c r="AX556" s="85"/>
      <c r="AY556" s="3"/>
      <c r="AZ556" s="3"/>
      <c r="BA556" s="3"/>
      <c r="BB556" s="3"/>
      <c r="BC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84"/>
      <c r="AX557" s="85"/>
      <c r="AY557" s="3"/>
      <c r="AZ557" s="3"/>
      <c r="BA557" s="3"/>
      <c r="BB557" s="3"/>
      <c r="BC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84"/>
      <c r="AX558" s="85"/>
      <c r="AY558" s="3"/>
      <c r="AZ558" s="3"/>
      <c r="BA558" s="3"/>
      <c r="BB558" s="3"/>
      <c r="BC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84"/>
      <c r="AX559" s="85"/>
      <c r="AY559" s="3"/>
      <c r="AZ559" s="3"/>
      <c r="BA559" s="3"/>
      <c r="BB559" s="3"/>
      <c r="BC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84"/>
      <c r="AX560" s="85"/>
      <c r="AY560" s="3"/>
      <c r="AZ560" s="3"/>
      <c r="BA560" s="3"/>
      <c r="BB560" s="3"/>
      <c r="BC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84"/>
      <c r="AX561" s="85"/>
      <c r="AY561" s="3"/>
      <c r="AZ561" s="3"/>
      <c r="BA561" s="3"/>
      <c r="BB561" s="3"/>
      <c r="BC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84"/>
      <c r="AX562" s="85"/>
      <c r="AY562" s="3"/>
      <c r="AZ562" s="3"/>
      <c r="BA562" s="3"/>
      <c r="BB562" s="3"/>
      <c r="BC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84"/>
      <c r="AX563" s="85"/>
      <c r="AY563" s="3"/>
      <c r="AZ563" s="3"/>
      <c r="BA563" s="3"/>
      <c r="BB563" s="3"/>
      <c r="BC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84"/>
      <c r="AX564" s="85"/>
      <c r="AY564" s="3"/>
      <c r="AZ564" s="3"/>
      <c r="BA564" s="3"/>
      <c r="BB564" s="3"/>
      <c r="BC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84"/>
      <c r="AX565" s="85"/>
      <c r="AY565" s="3"/>
      <c r="AZ565" s="3"/>
      <c r="BA565" s="3"/>
      <c r="BB565" s="3"/>
      <c r="BC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84"/>
      <c r="AX566" s="85"/>
      <c r="AY566" s="3"/>
      <c r="AZ566" s="3"/>
      <c r="BA566" s="3"/>
      <c r="BB566" s="3"/>
      <c r="BC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84"/>
      <c r="AX567" s="85"/>
      <c r="AY567" s="3"/>
      <c r="AZ567" s="3"/>
      <c r="BA567" s="3"/>
      <c r="BB567" s="3"/>
      <c r="BC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84"/>
      <c r="AX568" s="85"/>
      <c r="AY568" s="3"/>
      <c r="AZ568" s="3"/>
      <c r="BA568" s="3"/>
      <c r="BB568" s="3"/>
      <c r="BC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84"/>
      <c r="AX569" s="85"/>
      <c r="AY569" s="3"/>
      <c r="AZ569" s="3"/>
      <c r="BA569" s="3"/>
      <c r="BB569" s="3"/>
      <c r="BC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84"/>
      <c r="AX570" s="85"/>
      <c r="AY570" s="3"/>
      <c r="AZ570" s="3"/>
      <c r="BA570" s="3"/>
      <c r="BB570" s="3"/>
      <c r="BC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84"/>
      <c r="AX571" s="85"/>
      <c r="AY571" s="3"/>
      <c r="AZ571" s="3"/>
      <c r="BA571" s="3"/>
      <c r="BB571" s="3"/>
      <c r="BC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84"/>
      <c r="AX572" s="85"/>
      <c r="AY572" s="3"/>
      <c r="AZ572" s="3"/>
      <c r="BA572" s="3"/>
      <c r="BB572" s="3"/>
      <c r="BC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84"/>
      <c r="AX573" s="85"/>
      <c r="AY573" s="3"/>
      <c r="AZ573" s="3"/>
      <c r="BA573" s="3"/>
      <c r="BB573" s="3"/>
      <c r="BC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84"/>
      <c r="AX574" s="85"/>
      <c r="AY574" s="3"/>
      <c r="AZ574" s="3"/>
      <c r="BA574" s="3"/>
      <c r="BB574" s="3"/>
      <c r="BC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84"/>
      <c r="AX575" s="85"/>
      <c r="AY575" s="3"/>
      <c r="AZ575" s="3"/>
      <c r="BA575" s="3"/>
      <c r="BB575" s="3"/>
      <c r="BC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84"/>
      <c r="AX576" s="85"/>
      <c r="AY576" s="3"/>
      <c r="AZ576" s="3"/>
      <c r="BA576" s="3"/>
      <c r="BB576" s="3"/>
      <c r="BC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84"/>
      <c r="AX577" s="85"/>
      <c r="AY577" s="3"/>
      <c r="AZ577" s="3"/>
      <c r="BA577" s="3"/>
      <c r="BB577" s="3"/>
      <c r="BC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84"/>
      <c r="AX578" s="85"/>
      <c r="AY578" s="3"/>
      <c r="AZ578" s="3"/>
      <c r="BA578" s="3"/>
      <c r="BB578" s="3"/>
      <c r="BC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84"/>
      <c r="AX579" s="85"/>
      <c r="AY579" s="3"/>
      <c r="AZ579" s="3"/>
      <c r="BA579" s="3"/>
      <c r="BB579" s="3"/>
      <c r="BC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84"/>
      <c r="AX580" s="85"/>
      <c r="AY580" s="3"/>
      <c r="AZ580" s="3"/>
      <c r="BA580" s="3"/>
      <c r="BB580" s="3"/>
      <c r="BC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84"/>
      <c r="AX581" s="85"/>
      <c r="AY581" s="3"/>
      <c r="AZ581" s="3"/>
      <c r="BA581" s="3"/>
      <c r="BB581" s="3"/>
      <c r="BC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84"/>
      <c r="AX582" s="85"/>
      <c r="AY582" s="3"/>
      <c r="AZ582" s="3"/>
      <c r="BA582" s="3"/>
      <c r="BB582" s="3"/>
      <c r="BC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84"/>
      <c r="AX583" s="85"/>
      <c r="AY583" s="3"/>
      <c r="AZ583" s="3"/>
      <c r="BA583" s="3"/>
      <c r="BB583" s="3"/>
      <c r="BC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84"/>
      <c r="AX584" s="85"/>
      <c r="AY584" s="3"/>
      <c r="AZ584" s="3"/>
      <c r="BA584" s="3"/>
      <c r="BB584" s="3"/>
      <c r="BC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84"/>
      <c r="AX585" s="85"/>
      <c r="AY585" s="3"/>
      <c r="AZ585" s="3"/>
      <c r="BA585" s="3"/>
      <c r="BB585" s="3"/>
      <c r="BC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84"/>
      <c r="AX586" s="85"/>
      <c r="AY586" s="3"/>
      <c r="AZ586" s="3"/>
      <c r="BA586" s="3"/>
      <c r="BB586" s="3"/>
      <c r="BC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84"/>
      <c r="AX587" s="85"/>
      <c r="AY587" s="3"/>
      <c r="AZ587" s="3"/>
      <c r="BA587" s="3"/>
      <c r="BB587" s="3"/>
      <c r="BC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84"/>
      <c r="AX588" s="85"/>
      <c r="AY588" s="3"/>
      <c r="AZ588" s="3"/>
      <c r="BA588" s="3"/>
      <c r="BB588" s="3"/>
      <c r="BC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84"/>
      <c r="AX589" s="85"/>
      <c r="AY589" s="3"/>
      <c r="AZ589" s="3"/>
      <c r="BA589" s="3"/>
      <c r="BB589" s="3"/>
      <c r="BC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84"/>
      <c r="AX590" s="85"/>
      <c r="AY590" s="3"/>
      <c r="AZ590" s="3"/>
      <c r="BA590" s="3"/>
      <c r="BB590" s="3"/>
      <c r="BC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84"/>
      <c r="AX591" s="85"/>
      <c r="AY591" s="3"/>
      <c r="AZ591" s="3"/>
      <c r="BA591" s="3"/>
      <c r="BB591" s="3"/>
      <c r="BC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84"/>
      <c r="AX592" s="85"/>
      <c r="AY592" s="3"/>
      <c r="AZ592" s="3"/>
      <c r="BA592" s="3"/>
      <c r="BB592" s="3"/>
      <c r="BC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84"/>
      <c r="AX593" s="85"/>
      <c r="AY593" s="3"/>
      <c r="AZ593" s="3"/>
      <c r="BA593" s="3"/>
      <c r="BB593" s="3"/>
      <c r="BC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84"/>
      <c r="AX594" s="85"/>
      <c r="AY594" s="3"/>
      <c r="AZ594" s="3"/>
      <c r="BA594" s="3"/>
      <c r="BB594" s="3"/>
      <c r="BC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84"/>
      <c r="AX595" s="85"/>
      <c r="AY595" s="3"/>
      <c r="AZ595" s="3"/>
      <c r="BA595" s="3"/>
      <c r="BB595" s="3"/>
      <c r="BC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84"/>
      <c r="AX596" s="85"/>
      <c r="AY596" s="3"/>
      <c r="AZ596" s="3"/>
      <c r="BA596" s="3"/>
      <c r="BB596" s="3"/>
      <c r="BC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84"/>
      <c r="AX597" s="85"/>
      <c r="AY597" s="3"/>
      <c r="AZ597" s="3"/>
      <c r="BA597" s="3"/>
      <c r="BB597" s="3"/>
      <c r="BC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84"/>
      <c r="AX598" s="85"/>
      <c r="AY598" s="3"/>
      <c r="AZ598" s="3"/>
      <c r="BA598" s="3"/>
      <c r="BB598" s="3"/>
      <c r="BC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84"/>
      <c r="AX599" s="85"/>
      <c r="AY599" s="3"/>
      <c r="AZ599" s="3"/>
      <c r="BA599" s="3"/>
      <c r="BB599" s="3"/>
      <c r="BC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84"/>
      <c r="AX600" s="85"/>
      <c r="AY600" s="3"/>
      <c r="AZ600" s="3"/>
      <c r="BA600" s="3"/>
      <c r="BB600" s="3"/>
      <c r="BC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84"/>
      <c r="AX601" s="85"/>
      <c r="AY601" s="3"/>
      <c r="AZ601" s="3"/>
      <c r="BA601" s="3"/>
      <c r="BB601" s="3"/>
      <c r="BC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84"/>
      <c r="AX602" s="85"/>
      <c r="AY602" s="3"/>
      <c r="AZ602" s="3"/>
      <c r="BA602" s="3"/>
      <c r="BB602" s="3"/>
      <c r="BC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84"/>
      <c r="AX603" s="85"/>
      <c r="AY603" s="3"/>
      <c r="AZ603" s="3"/>
      <c r="BA603" s="3"/>
      <c r="BB603" s="3"/>
      <c r="BC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84"/>
      <c r="AX604" s="85"/>
      <c r="AY604" s="3"/>
      <c r="AZ604" s="3"/>
      <c r="BA604" s="3"/>
      <c r="BB604" s="3"/>
      <c r="BC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84"/>
      <c r="AX605" s="85"/>
      <c r="AY605" s="3"/>
      <c r="AZ605" s="3"/>
      <c r="BA605" s="3"/>
      <c r="BB605" s="3"/>
      <c r="BC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84"/>
      <c r="AX606" s="85"/>
      <c r="AY606" s="3"/>
      <c r="AZ606" s="3"/>
      <c r="BA606" s="3"/>
      <c r="BB606" s="3"/>
      <c r="BC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84"/>
      <c r="AX607" s="85"/>
      <c r="AY607" s="3"/>
      <c r="AZ607" s="3"/>
      <c r="BA607" s="3"/>
      <c r="BB607" s="3"/>
      <c r="BC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84"/>
      <c r="AX608" s="85"/>
      <c r="AY608" s="3"/>
      <c r="AZ608" s="3"/>
      <c r="BA608" s="3"/>
      <c r="BB608" s="3"/>
      <c r="BC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84"/>
      <c r="AX609" s="85"/>
      <c r="AY609" s="3"/>
      <c r="AZ609" s="3"/>
      <c r="BA609" s="3"/>
      <c r="BB609" s="3"/>
      <c r="BC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84"/>
      <c r="AX610" s="85"/>
      <c r="AY610" s="3"/>
      <c r="AZ610" s="3"/>
      <c r="BA610" s="3"/>
      <c r="BB610" s="3"/>
      <c r="BC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84"/>
      <c r="AX611" s="85"/>
      <c r="AY611" s="3"/>
      <c r="AZ611" s="3"/>
      <c r="BA611" s="3"/>
      <c r="BB611" s="3"/>
      <c r="BC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84"/>
      <c r="AX612" s="85"/>
      <c r="AY612" s="3"/>
      <c r="AZ612" s="3"/>
      <c r="BA612" s="3"/>
      <c r="BB612" s="3"/>
      <c r="BC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84"/>
      <c r="AX613" s="85"/>
      <c r="AY613" s="3"/>
      <c r="AZ613" s="3"/>
      <c r="BA613" s="3"/>
      <c r="BB613" s="3"/>
      <c r="BC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84"/>
      <c r="AX614" s="85"/>
      <c r="AY614" s="3"/>
      <c r="AZ614" s="3"/>
      <c r="BA614" s="3"/>
      <c r="BB614" s="3"/>
      <c r="BC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84"/>
      <c r="AX615" s="85"/>
      <c r="AY615" s="3"/>
      <c r="AZ615" s="3"/>
      <c r="BA615" s="3"/>
      <c r="BB615" s="3"/>
      <c r="BC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84"/>
      <c r="AX616" s="85"/>
      <c r="AY616" s="3"/>
      <c r="AZ616" s="3"/>
      <c r="BA616" s="3"/>
      <c r="BB616" s="3"/>
      <c r="BC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84"/>
      <c r="AX617" s="85"/>
      <c r="AY617" s="3"/>
      <c r="AZ617" s="3"/>
      <c r="BA617" s="3"/>
      <c r="BB617" s="3"/>
      <c r="BC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84"/>
      <c r="AX618" s="85"/>
      <c r="AY618" s="3"/>
      <c r="AZ618" s="3"/>
      <c r="BA618" s="3"/>
      <c r="BB618" s="3"/>
      <c r="BC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84"/>
      <c r="AX619" s="85"/>
      <c r="AY619" s="3"/>
      <c r="AZ619" s="3"/>
      <c r="BA619" s="3"/>
      <c r="BB619" s="3"/>
      <c r="BC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84"/>
      <c r="AX620" s="85"/>
      <c r="AY620" s="3"/>
      <c r="AZ620" s="3"/>
      <c r="BA620" s="3"/>
      <c r="BB620" s="3"/>
      <c r="BC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84"/>
      <c r="AX621" s="85"/>
      <c r="AY621" s="3"/>
      <c r="AZ621" s="3"/>
      <c r="BA621" s="3"/>
      <c r="BB621" s="3"/>
      <c r="BC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84"/>
      <c r="AX622" s="85"/>
      <c r="AY622" s="3"/>
      <c r="AZ622" s="3"/>
      <c r="BA622" s="3"/>
      <c r="BB622" s="3"/>
      <c r="BC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84"/>
      <c r="AX623" s="85"/>
      <c r="AY623" s="3"/>
      <c r="AZ623" s="3"/>
      <c r="BA623" s="3"/>
      <c r="BB623" s="3"/>
      <c r="BC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84"/>
      <c r="AX624" s="85"/>
      <c r="AY624" s="3"/>
      <c r="AZ624" s="3"/>
      <c r="BA624" s="3"/>
      <c r="BB624" s="3"/>
      <c r="BC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84"/>
      <c r="AX625" s="85"/>
      <c r="AY625" s="3"/>
      <c r="AZ625" s="3"/>
      <c r="BA625" s="3"/>
      <c r="BB625" s="3"/>
      <c r="BC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84"/>
      <c r="AX626" s="85"/>
      <c r="AY626" s="3"/>
      <c r="AZ626" s="3"/>
      <c r="BA626" s="3"/>
      <c r="BB626" s="3"/>
      <c r="BC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84"/>
      <c r="AX627" s="85"/>
      <c r="AY627" s="3"/>
      <c r="AZ627" s="3"/>
      <c r="BA627" s="3"/>
      <c r="BB627" s="3"/>
      <c r="BC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84"/>
      <c r="AX628" s="85"/>
      <c r="AY628" s="3"/>
      <c r="AZ628" s="3"/>
      <c r="BA628" s="3"/>
      <c r="BB628" s="3"/>
      <c r="BC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84"/>
      <c r="AX629" s="85"/>
      <c r="AY629" s="3"/>
      <c r="AZ629" s="3"/>
      <c r="BA629" s="3"/>
      <c r="BB629" s="3"/>
      <c r="BC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84"/>
      <c r="AX630" s="85"/>
      <c r="AY630" s="3"/>
      <c r="AZ630" s="3"/>
      <c r="BA630" s="3"/>
      <c r="BB630" s="3"/>
      <c r="BC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84"/>
      <c r="AX631" s="85"/>
      <c r="AY631" s="3"/>
      <c r="AZ631" s="3"/>
      <c r="BA631" s="3"/>
      <c r="BB631" s="3"/>
      <c r="BC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84"/>
      <c r="AX632" s="85"/>
      <c r="AY632" s="3"/>
      <c r="AZ632" s="3"/>
      <c r="BA632" s="3"/>
      <c r="BB632" s="3"/>
      <c r="BC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84"/>
      <c r="AX633" s="85"/>
      <c r="AY633" s="3"/>
      <c r="AZ633" s="3"/>
      <c r="BA633" s="3"/>
      <c r="BB633" s="3"/>
      <c r="BC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84"/>
      <c r="AX634" s="85"/>
      <c r="AY634" s="3"/>
      <c r="AZ634" s="3"/>
      <c r="BA634" s="3"/>
      <c r="BB634" s="3"/>
      <c r="BC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84"/>
      <c r="AX635" s="85"/>
      <c r="AY635" s="3"/>
      <c r="AZ635" s="3"/>
      <c r="BA635" s="3"/>
      <c r="BB635" s="3"/>
      <c r="BC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84"/>
      <c r="AX636" s="85"/>
      <c r="AY636" s="3"/>
      <c r="AZ636" s="3"/>
      <c r="BA636" s="3"/>
      <c r="BB636" s="3"/>
      <c r="BC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84"/>
      <c r="AX637" s="85"/>
      <c r="AY637" s="3"/>
      <c r="AZ637" s="3"/>
      <c r="BA637" s="3"/>
      <c r="BB637" s="3"/>
      <c r="BC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84"/>
      <c r="AX638" s="85"/>
      <c r="AY638" s="3"/>
      <c r="AZ638" s="3"/>
      <c r="BA638" s="3"/>
      <c r="BB638" s="3"/>
      <c r="BC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84"/>
      <c r="AX639" s="85"/>
      <c r="AY639" s="3"/>
      <c r="AZ639" s="3"/>
      <c r="BA639" s="3"/>
      <c r="BB639" s="3"/>
      <c r="BC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84"/>
      <c r="AX640" s="85"/>
      <c r="AY640" s="3"/>
      <c r="AZ640" s="3"/>
      <c r="BA640" s="3"/>
      <c r="BB640" s="3"/>
      <c r="BC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84"/>
      <c r="AX641" s="85"/>
      <c r="AY641" s="3"/>
      <c r="AZ641" s="3"/>
      <c r="BA641" s="3"/>
      <c r="BB641" s="3"/>
      <c r="BC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84"/>
      <c r="AX642" s="85"/>
      <c r="AY642" s="3"/>
      <c r="AZ642" s="3"/>
      <c r="BA642" s="3"/>
      <c r="BB642" s="3"/>
      <c r="BC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84"/>
      <c r="AX643" s="85"/>
      <c r="AY643" s="3"/>
      <c r="AZ643" s="3"/>
      <c r="BA643" s="3"/>
      <c r="BB643" s="3"/>
      <c r="BC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84"/>
      <c r="AX644" s="85"/>
      <c r="AY644" s="3"/>
      <c r="AZ644" s="3"/>
      <c r="BA644" s="3"/>
      <c r="BB644" s="3"/>
      <c r="BC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84"/>
      <c r="AX645" s="85"/>
      <c r="AY645" s="3"/>
      <c r="AZ645" s="3"/>
      <c r="BA645" s="3"/>
      <c r="BB645" s="3"/>
      <c r="BC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84"/>
      <c r="AX646" s="85"/>
      <c r="AY646" s="3"/>
      <c r="AZ646" s="3"/>
      <c r="BA646" s="3"/>
      <c r="BB646" s="3"/>
      <c r="BC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84"/>
      <c r="AX647" s="85"/>
      <c r="AY647" s="3"/>
      <c r="AZ647" s="3"/>
      <c r="BA647" s="3"/>
      <c r="BB647" s="3"/>
      <c r="BC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84"/>
      <c r="AX648" s="85"/>
      <c r="AY648" s="3"/>
      <c r="AZ648" s="3"/>
      <c r="BA648" s="3"/>
      <c r="BB648" s="3"/>
      <c r="BC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84"/>
      <c r="AX649" s="85"/>
      <c r="AY649" s="3"/>
      <c r="AZ649" s="3"/>
      <c r="BA649" s="3"/>
      <c r="BB649" s="3"/>
      <c r="BC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84"/>
      <c r="AX650" s="85"/>
      <c r="AY650" s="3"/>
      <c r="AZ650" s="3"/>
      <c r="BA650" s="3"/>
      <c r="BB650" s="3"/>
      <c r="BC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84"/>
      <c r="AX651" s="85"/>
      <c r="AY651" s="3"/>
      <c r="AZ651" s="3"/>
      <c r="BA651" s="3"/>
      <c r="BB651" s="3"/>
      <c r="BC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84"/>
      <c r="AX652" s="85"/>
      <c r="AY652" s="3"/>
      <c r="AZ652" s="3"/>
      <c r="BA652" s="3"/>
      <c r="BB652" s="3"/>
      <c r="BC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84"/>
      <c r="AX653" s="85"/>
      <c r="AY653" s="3"/>
      <c r="AZ653" s="3"/>
      <c r="BA653" s="3"/>
      <c r="BB653" s="3"/>
      <c r="BC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84"/>
      <c r="AX654" s="85"/>
      <c r="AY654" s="3"/>
      <c r="AZ654" s="3"/>
      <c r="BA654" s="3"/>
      <c r="BB654" s="3"/>
      <c r="BC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84"/>
      <c r="AX655" s="85"/>
      <c r="AY655" s="3"/>
      <c r="AZ655" s="3"/>
      <c r="BA655" s="3"/>
      <c r="BB655" s="3"/>
      <c r="BC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84"/>
      <c r="AX656" s="85"/>
      <c r="AY656" s="3"/>
      <c r="AZ656" s="3"/>
      <c r="BA656" s="3"/>
      <c r="BB656" s="3"/>
      <c r="BC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84"/>
      <c r="AX657" s="85"/>
      <c r="AY657" s="3"/>
      <c r="AZ657" s="3"/>
      <c r="BA657" s="3"/>
      <c r="BB657" s="3"/>
      <c r="BC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84"/>
      <c r="AX658" s="85"/>
      <c r="AY658" s="3"/>
      <c r="AZ658" s="3"/>
      <c r="BA658" s="3"/>
      <c r="BB658" s="3"/>
      <c r="BC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84"/>
      <c r="AX659" s="85"/>
      <c r="AY659" s="3"/>
      <c r="AZ659" s="3"/>
      <c r="BA659" s="3"/>
      <c r="BB659" s="3"/>
      <c r="BC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84"/>
      <c r="AX660" s="85"/>
      <c r="AY660" s="3"/>
      <c r="AZ660" s="3"/>
      <c r="BA660" s="3"/>
      <c r="BB660" s="3"/>
      <c r="BC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84"/>
      <c r="AX661" s="85"/>
      <c r="AY661" s="3"/>
      <c r="AZ661" s="3"/>
      <c r="BA661" s="3"/>
      <c r="BB661" s="3"/>
      <c r="BC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84"/>
      <c r="AX662" s="85"/>
      <c r="AY662" s="3"/>
      <c r="AZ662" s="3"/>
      <c r="BA662" s="3"/>
      <c r="BB662" s="3"/>
      <c r="BC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84"/>
      <c r="AX663" s="85"/>
      <c r="AY663" s="3"/>
      <c r="AZ663" s="3"/>
      <c r="BA663" s="3"/>
      <c r="BB663" s="3"/>
      <c r="BC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84"/>
      <c r="AX664" s="85"/>
      <c r="AY664" s="3"/>
      <c r="AZ664" s="3"/>
      <c r="BA664" s="3"/>
      <c r="BB664" s="3"/>
      <c r="BC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84"/>
      <c r="AX665" s="85"/>
      <c r="AY665" s="3"/>
      <c r="AZ665" s="3"/>
      <c r="BA665" s="3"/>
      <c r="BB665" s="3"/>
      <c r="BC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84"/>
      <c r="AX666" s="85"/>
      <c r="AY666" s="3"/>
      <c r="AZ666" s="3"/>
      <c r="BA666" s="3"/>
      <c r="BB666" s="3"/>
      <c r="BC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84"/>
      <c r="AX667" s="85"/>
      <c r="AY667" s="3"/>
      <c r="AZ667" s="3"/>
      <c r="BA667" s="3"/>
      <c r="BB667" s="3"/>
      <c r="BC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84"/>
      <c r="AX668" s="85"/>
      <c r="AY668" s="3"/>
      <c r="AZ668" s="3"/>
      <c r="BA668" s="3"/>
      <c r="BB668" s="3"/>
      <c r="BC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84"/>
      <c r="AX669" s="85"/>
      <c r="AY669" s="3"/>
      <c r="AZ669" s="3"/>
      <c r="BA669" s="3"/>
      <c r="BB669" s="3"/>
      <c r="BC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84"/>
      <c r="AX670" s="85"/>
      <c r="AY670" s="3"/>
      <c r="AZ670" s="3"/>
      <c r="BA670" s="3"/>
      <c r="BB670" s="3"/>
      <c r="BC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84"/>
      <c r="AX671" s="85"/>
      <c r="AY671" s="3"/>
      <c r="AZ671" s="3"/>
      <c r="BA671" s="3"/>
      <c r="BB671" s="3"/>
      <c r="BC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84"/>
      <c r="AX672" s="85"/>
      <c r="AY672" s="3"/>
      <c r="AZ672" s="3"/>
      <c r="BA672" s="3"/>
      <c r="BB672" s="3"/>
      <c r="BC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84"/>
      <c r="AX673" s="85"/>
      <c r="AY673" s="3"/>
      <c r="AZ673" s="3"/>
      <c r="BA673" s="3"/>
      <c r="BB673" s="3"/>
      <c r="BC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84"/>
      <c r="AX674" s="85"/>
      <c r="AY674" s="3"/>
      <c r="AZ674" s="3"/>
      <c r="BA674" s="3"/>
      <c r="BB674" s="3"/>
      <c r="BC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84"/>
      <c r="AX675" s="85"/>
      <c r="AY675" s="3"/>
      <c r="AZ675" s="3"/>
      <c r="BA675" s="3"/>
      <c r="BB675" s="3"/>
      <c r="BC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84"/>
      <c r="AX676" s="85"/>
      <c r="AY676" s="3"/>
      <c r="AZ676" s="3"/>
      <c r="BA676" s="3"/>
      <c r="BB676" s="3"/>
      <c r="BC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84"/>
      <c r="AX677" s="85"/>
      <c r="AY677" s="3"/>
      <c r="AZ677" s="3"/>
      <c r="BA677" s="3"/>
      <c r="BB677" s="3"/>
      <c r="BC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84"/>
      <c r="AX678" s="85"/>
      <c r="AY678" s="3"/>
      <c r="AZ678" s="3"/>
      <c r="BA678" s="3"/>
      <c r="BB678" s="3"/>
      <c r="BC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84"/>
      <c r="AX679" s="85"/>
      <c r="AY679" s="3"/>
      <c r="AZ679" s="3"/>
      <c r="BA679" s="3"/>
      <c r="BB679" s="3"/>
      <c r="BC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84"/>
      <c r="AX680" s="85"/>
      <c r="AY680" s="3"/>
      <c r="AZ680" s="3"/>
      <c r="BA680" s="3"/>
      <c r="BB680" s="3"/>
      <c r="BC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84"/>
      <c r="AX681" s="85"/>
      <c r="AY681" s="3"/>
      <c r="AZ681" s="3"/>
      <c r="BA681" s="3"/>
      <c r="BB681" s="3"/>
      <c r="BC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84"/>
      <c r="AX682" s="85"/>
      <c r="AY682" s="3"/>
      <c r="AZ682" s="3"/>
      <c r="BA682" s="3"/>
      <c r="BB682" s="3"/>
      <c r="BC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84"/>
      <c r="AX683" s="85"/>
      <c r="AY683" s="3"/>
      <c r="AZ683" s="3"/>
      <c r="BA683" s="3"/>
      <c r="BB683" s="3"/>
      <c r="BC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84"/>
      <c r="AX684" s="85"/>
      <c r="AY684" s="3"/>
      <c r="AZ684" s="3"/>
      <c r="BA684" s="3"/>
      <c r="BB684" s="3"/>
      <c r="BC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84"/>
      <c r="AX685" s="85"/>
      <c r="AY685" s="3"/>
      <c r="AZ685" s="3"/>
      <c r="BA685" s="3"/>
      <c r="BB685" s="3"/>
      <c r="BC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84"/>
      <c r="AX686" s="85"/>
      <c r="AY686" s="3"/>
      <c r="AZ686" s="3"/>
      <c r="BA686" s="3"/>
      <c r="BB686" s="3"/>
      <c r="BC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84"/>
      <c r="AX687" s="85"/>
      <c r="AY687" s="3"/>
      <c r="AZ687" s="3"/>
      <c r="BA687" s="3"/>
      <c r="BB687" s="3"/>
      <c r="BC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84"/>
      <c r="AX688" s="85"/>
      <c r="AY688" s="3"/>
      <c r="AZ688" s="3"/>
      <c r="BA688" s="3"/>
      <c r="BB688" s="3"/>
      <c r="BC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84"/>
      <c r="AX689" s="85"/>
      <c r="AY689" s="3"/>
      <c r="AZ689" s="3"/>
      <c r="BA689" s="3"/>
      <c r="BB689" s="3"/>
      <c r="BC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84"/>
      <c r="AX690" s="85"/>
      <c r="AY690" s="3"/>
      <c r="AZ690" s="3"/>
      <c r="BA690" s="3"/>
      <c r="BB690" s="3"/>
      <c r="BC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84"/>
      <c r="AX691" s="85"/>
      <c r="AY691" s="3"/>
      <c r="AZ691" s="3"/>
      <c r="BA691" s="3"/>
      <c r="BB691" s="3"/>
      <c r="BC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84"/>
      <c r="AX692" s="85"/>
      <c r="AY692" s="3"/>
      <c r="AZ692" s="3"/>
      <c r="BA692" s="3"/>
      <c r="BB692" s="3"/>
      <c r="BC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84"/>
      <c r="AX693" s="85"/>
      <c r="AY693" s="3"/>
      <c r="AZ693" s="3"/>
      <c r="BA693" s="3"/>
      <c r="BB693" s="3"/>
      <c r="BC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84"/>
      <c r="AX694" s="85"/>
      <c r="AY694" s="3"/>
      <c r="AZ694" s="3"/>
      <c r="BA694" s="3"/>
      <c r="BB694" s="3"/>
      <c r="BC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84"/>
      <c r="AX695" s="85"/>
      <c r="AY695" s="3"/>
      <c r="AZ695" s="3"/>
      <c r="BA695" s="3"/>
      <c r="BB695" s="3"/>
      <c r="BC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84"/>
      <c r="AX696" s="85"/>
      <c r="AY696" s="3"/>
      <c r="AZ696" s="3"/>
      <c r="BA696" s="3"/>
      <c r="BB696" s="3"/>
      <c r="BC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84"/>
      <c r="AX697" s="85"/>
      <c r="AY697" s="3"/>
      <c r="AZ697" s="3"/>
      <c r="BA697" s="3"/>
      <c r="BB697" s="3"/>
      <c r="BC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84"/>
      <c r="AX698" s="85"/>
      <c r="AY698" s="3"/>
      <c r="AZ698" s="3"/>
      <c r="BA698" s="3"/>
      <c r="BB698" s="3"/>
      <c r="BC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84"/>
      <c r="AX699" s="85"/>
      <c r="AY699" s="3"/>
      <c r="AZ699" s="3"/>
      <c r="BA699" s="3"/>
      <c r="BB699" s="3"/>
      <c r="BC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84"/>
      <c r="AX700" s="85"/>
      <c r="AY700" s="3"/>
      <c r="AZ700" s="3"/>
      <c r="BA700" s="3"/>
      <c r="BB700" s="3"/>
      <c r="BC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84"/>
      <c r="AX701" s="85"/>
      <c r="AY701" s="3"/>
      <c r="AZ701" s="3"/>
      <c r="BA701" s="3"/>
      <c r="BB701" s="3"/>
      <c r="BC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84"/>
      <c r="AX702" s="85"/>
      <c r="AY702" s="3"/>
      <c r="AZ702" s="3"/>
      <c r="BA702" s="3"/>
      <c r="BB702" s="3"/>
      <c r="BC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84"/>
      <c r="AX703" s="85"/>
      <c r="AY703" s="3"/>
      <c r="AZ703" s="3"/>
      <c r="BA703" s="3"/>
      <c r="BB703" s="3"/>
      <c r="BC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84"/>
      <c r="AX704" s="85"/>
      <c r="AY704" s="3"/>
      <c r="AZ704" s="3"/>
      <c r="BA704" s="3"/>
      <c r="BB704" s="3"/>
      <c r="BC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84"/>
      <c r="AX705" s="85"/>
      <c r="AY705" s="3"/>
      <c r="AZ705" s="3"/>
      <c r="BA705" s="3"/>
      <c r="BB705" s="3"/>
      <c r="BC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84"/>
      <c r="AX706" s="85"/>
      <c r="AY706" s="3"/>
      <c r="AZ706" s="3"/>
      <c r="BA706" s="3"/>
      <c r="BB706" s="3"/>
      <c r="BC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84"/>
      <c r="AX707" s="85"/>
      <c r="AY707" s="3"/>
      <c r="AZ707" s="3"/>
      <c r="BA707" s="3"/>
      <c r="BB707" s="3"/>
      <c r="BC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84"/>
      <c r="AX708" s="85"/>
      <c r="AY708" s="3"/>
      <c r="AZ708" s="3"/>
      <c r="BA708" s="3"/>
      <c r="BB708" s="3"/>
      <c r="BC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84"/>
      <c r="AX709" s="85"/>
      <c r="AY709" s="3"/>
      <c r="AZ709" s="3"/>
      <c r="BA709" s="3"/>
      <c r="BB709" s="3"/>
      <c r="BC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84"/>
      <c r="AX710" s="85"/>
      <c r="AY710" s="3"/>
      <c r="AZ710" s="3"/>
      <c r="BA710" s="3"/>
      <c r="BB710" s="3"/>
      <c r="BC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84"/>
      <c r="AX711" s="85"/>
      <c r="AY711" s="3"/>
      <c r="AZ711" s="3"/>
      <c r="BA711" s="3"/>
      <c r="BB711" s="3"/>
      <c r="BC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84"/>
      <c r="AX712" s="85"/>
      <c r="AY712" s="3"/>
      <c r="AZ712" s="3"/>
      <c r="BA712" s="3"/>
      <c r="BB712" s="3"/>
      <c r="BC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84"/>
      <c r="AX713" s="85"/>
      <c r="AY713" s="3"/>
      <c r="AZ713" s="3"/>
      <c r="BA713" s="3"/>
      <c r="BB713" s="3"/>
      <c r="BC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84"/>
      <c r="AX714" s="85"/>
      <c r="AY714" s="3"/>
      <c r="AZ714" s="3"/>
      <c r="BA714" s="3"/>
      <c r="BB714" s="3"/>
      <c r="BC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84"/>
      <c r="AX715" s="85"/>
      <c r="AY715" s="3"/>
      <c r="AZ715" s="3"/>
      <c r="BA715" s="3"/>
      <c r="BB715" s="3"/>
      <c r="BC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84"/>
      <c r="AX716" s="85"/>
      <c r="AY716" s="3"/>
      <c r="AZ716" s="3"/>
      <c r="BA716" s="3"/>
      <c r="BB716" s="3"/>
      <c r="BC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84"/>
      <c r="AX717" s="85"/>
      <c r="AY717" s="3"/>
      <c r="AZ717" s="3"/>
      <c r="BA717" s="3"/>
      <c r="BB717" s="3"/>
      <c r="BC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84"/>
      <c r="AX718" s="85"/>
      <c r="AY718" s="3"/>
      <c r="AZ718" s="3"/>
      <c r="BA718" s="3"/>
      <c r="BB718" s="3"/>
      <c r="BC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84"/>
      <c r="AX719" s="85"/>
      <c r="AY719" s="3"/>
      <c r="AZ719" s="3"/>
      <c r="BA719" s="3"/>
      <c r="BB719" s="3"/>
      <c r="BC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84"/>
      <c r="AX720" s="85"/>
      <c r="AY720" s="3"/>
      <c r="AZ720" s="3"/>
      <c r="BA720" s="3"/>
      <c r="BB720" s="3"/>
      <c r="BC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84"/>
      <c r="AX721" s="85"/>
      <c r="AY721" s="3"/>
      <c r="AZ721" s="3"/>
      <c r="BA721" s="3"/>
      <c r="BB721" s="3"/>
      <c r="BC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84"/>
      <c r="AX722" s="85"/>
      <c r="AY722" s="3"/>
      <c r="AZ722" s="3"/>
      <c r="BA722" s="3"/>
      <c r="BB722" s="3"/>
      <c r="BC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84"/>
      <c r="AX723" s="85"/>
      <c r="AY723" s="3"/>
      <c r="AZ723" s="3"/>
      <c r="BA723" s="3"/>
      <c r="BB723" s="3"/>
      <c r="BC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84"/>
      <c r="AX724" s="85"/>
      <c r="AY724" s="3"/>
      <c r="AZ724" s="3"/>
      <c r="BA724" s="3"/>
      <c r="BB724" s="3"/>
      <c r="BC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84"/>
      <c r="AX725" s="85"/>
      <c r="AY725" s="3"/>
      <c r="AZ725" s="3"/>
      <c r="BA725" s="3"/>
      <c r="BB725" s="3"/>
      <c r="BC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84"/>
      <c r="AX726" s="85"/>
      <c r="AY726" s="3"/>
      <c r="AZ726" s="3"/>
      <c r="BA726" s="3"/>
      <c r="BB726" s="3"/>
      <c r="BC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84"/>
      <c r="AX727" s="85"/>
      <c r="AY727" s="3"/>
      <c r="AZ727" s="3"/>
      <c r="BA727" s="3"/>
      <c r="BB727" s="3"/>
      <c r="BC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84"/>
      <c r="AX728" s="85"/>
      <c r="AY728" s="3"/>
      <c r="AZ728" s="3"/>
      <c r="BA728" s="3"/>
      <c r="BB728" s="3"/>
      <c r="BC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84"/>
      <c r="AX729" s="85"/>
      <c r="AY729" s="3"/>
      <c r="AZ729" s="3"/>
      <c r="BA729" s="3"/>
      <c r="BB729" s="3"/>
      <c r="BC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84"/>
      <c r="AX730" s="85"/>
      <c r="AY730" s="3"/>
      <c r="AZ730" s="3"/>
      <c r="BA730" s="3"/>
      <c r="BB730" s="3"/>
      <c r="BC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84"/>
      <c r="AX731" s="85"/>
      <c r="AY731" s="3"/>
      <c r="AZ731" s="3"/>
      <c r="BA731" s="3"/>
      <c r="BB731" s="3"/>
      <c r="BC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84"/>
      <c r="AX732" s="85"/>
      <c r="AY732" s="3"/>
      <c r="AZ732" s="3"/>
      <c r="BA732" s="3"/>
      <c r="BB732" s="3"/>
      <c r="BC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84"/>
      <c r="AX733" s="85"/>
      <c r="AY733" s="3"/>
      <c r="AZ733" s="3"/>
      <c r="BA733" s="3"/>
      <c r="BB733" s="3"/>
      <c r="BC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84"/>
      <c r="AX734" s="85"/>
      <c r="AY734" s="3"/>
      <c r="AZ734" s="3"/>
      <c r="BA734" s="3"/>
      <c r="BB734" s="3"/>
      <c r="BC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84"/>
      <c r="AX735" s="85"/>
      <c r="AY735" s="3"/>
      <c r="AZ735" s="3"/>
      <c r="BA735" s="3"/>
      <c r="BB735" s="3"/>
      <c r="BC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84"/>
      <c r="AX736" s="85"/>
      <c r="AY736" s="3"/>
      <c r="AZ736" s="3"/>
      <c r="BA736" s="3"/>
      <c r="BB736" s="3"/>
      <c r="BC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84"/>
      <c r="AX737" s="85"/>
      <c r="AY737" s="3"/>
      <c r="AZ737" s="3"/>
      <c r="BA737" s="3"/>
      <c r="BB737" s="3"/>
      <c r="BC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84"/>
      <c r="AX738" s="85"/>
      <c r="AY738" s="3"/>
      <c r="AZ738" s="3"/>
      <c r="BA738" s="3"/>
      <c r="BB738" s="3"/>
      <c r="BC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84"/>
      <c r="AX739" s="85"/>
      <c r="AY739" s="3"/>
      <c r="AZ739" s="3"/>
      <c r="BA739" s="3"/>
      <c r="BB739" s="3"/>
      <c r="BC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84"/>
      <c r="AX740" s="85"/>
      <c r="AY740" s="3"/>
      <c r="AZ740" s="3"/>
      <c r="BA740" s="3"/>
      <c r="BB740" s="3"/>
      <c r="BC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84"/>
      <c r="AX741" s="85"/>
      <c r="AY741" s="3"/>
      <c r="AZ741" s="3"/>
      <c r="BA741" s="3"/>
      <c r="BB741" s="3"/>
      <c r="BC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84"/>
      <c r="AX742" s="85"/>
      <c r="AY742" s="3"/>
      <c r="AZ742" s="3"/>
      <c r="BA742" s="3"/>
      <c r="BB742" s="3"/>
      <c r="BC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84"/>
      <c r="AX743" s="85"/>
      <c r="AY743" s="3"/>
      <c r="AZ743" s="3"/>
      <c r="BA743" s="3"/>
      <c r="BB743" s="3"/>
      <c r="BC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84"/>
      <c r="AX744" s="85"/>
      <c r="AY744" s="3"/>
      <c r="AZ744" s="3"/>
      <c r="BA744" s="3"/>
      <c r="BB744" s="3"/>
      <c r="BC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84"/>
      <c r="AX745" s="85"/>
      <c r="AY745" s="3"/>
      <c r="AZ745" s="3"/>
      <c r="BA745" s="3"/>
      <c r="BB745" s="3"/>
      <c r="BC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84"/>
      <c r="AX746" s="85"/>
      <c r="AY746" s="3"/>
      <c r="AZ746" s="3"/>
      <c r="BA746" s="3"/>
      <c r="BB746" s="3"/>
      <c r="BC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84"/>
      <c r="AX747" s="85"/>
      <c r="AY747" s="3"/>
      <c r="AZ747" s="3"/>
      <c r="BA747" s="3"/>
      <c r="BB747" s="3"/>
      <c r="BC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84"/>
      <c r="AX748" s="85"/>
      <c r="AY748" s="3"/>
      <c r="AZ748" s="3"/>
      <c r="BA748" s="3"/>
      <c r="BB748" s="3"/>
      <c r="BC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84"/>
      <c r="AX749" s="85"/>
      <c r="AY749" s="3"/>
      <c r="AZ749" s="3"/>
      <c r="BA749" s="3"/>
      <c r="BB749" s="3"/>
      <c r="BC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84"/>
      <c r="AX750" s="85"/>
      <c r="AY750" s="3"/>
      <c r="AZ750" s="3"/>
      <c r="BA750" s="3"/>
      <c r="BB750" s="3"/>
      <c r="BC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84"/>
      <c r="AX751" s="85"/>
      <c r="AY751" s="3"/>
      <c r="AZ751" s="3"/>
      <c r="BA751" s="3"/>
      <c r="BB751" s="3"/>
      <c r="BC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84"/>
      <c r="AX752" s="85"/>
      <c r="AY752" s="3"/>
      <c r="AZ752" s="3"/>
      <c r="BA752" s="3"/>
      <c r="BB752" s="3"/>
      <c r="BC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84"/>
      <c r="AX753" s="85"/>
      <c r="AY753" s="3"/>
      <c r="AZ753" s="3"/>
      <c r="BA753" s="3"/>
      <c r="BB753" s="3"/>
      <c r="BC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84"/>
      <c r="AX754" s="85"/>
      <c r="AY754" s="3"/>
      <c r="AZ754" s="3"/>
      <c r="BA754" s="3"/>
      <c r="BB754" s="3"/>
      <c r="BC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84"/>
      <c r="AX755" s="85"/>
      <c r="AY755" s="3"/>
      <c r="AZ755" s="3"/>
      <c r="BA755" s="3"/>
      <c r="BB755" s="3"/>
      <c r="BC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84"/>
      <c r="AX756" s="85"/>
      <c r="AY756" s="3"/>
      <c r="AZ756" s="3"/>
      <c r="BA756" s="3"/>
      <c r="BB756" s="3"/>
      <c r="BC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84"/>
      <c r="AX757" s="85"/>
      <c r="AY757" s="3"/>
      <c r="AZ757" s="3"/>
      <c r="BA757" s="3"/>
      <c r="BB757" s="3"/>
      <c r="BC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84"/>
      <c r="AX758" s="85"/>
      <c r="AY758" s="3"/>
      <c r="AZ758" s="3"/>
      <c r="BA758" s="3"/>
      <c r="BB758" s="3"/>
      <c r="BC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84"/>
      <c r="AX759" s="85"/>
      <c r="AY759" s="3"/>
      <c r="AZ759" s="3"/>
      <c r="BA759" s="3"/>
      <c r="BB759" s="3"/>
      <c r="BC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84"/>
      <c r="AX760" s="85"/>
      <c r="AY760" s="3"/>
      <c r="AZ760" s="3"/>
      <c r="BA760" s="3"/>
      <c r="BB760" s="3"/>
      <c r="BC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84"/>
      <c r="AX761" s="85"/>
      <c r="AY761" s="3"/>
      <c r="AZ761" s="3"/>
      <c r="BA761" s="3"/>
      <c r="BB761" s="3"/>
      <c r="BC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84"/>
      <c r="AX762" s="85"/>
      <c r="AY762" s="3"/>
      <c r="AZ762" s="3"/>
      <c r="BA762" s="3"/>
      <c r="BB762" s="3"/>
      <c r="BC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84"/>
      <c r="AX763" s="85"/>
      <c r="AY763" s="3"/>
      <c r="AZ763" s="3"/>
      <c r="BA763" s="3"/>
      <c r="BB763" s="3"/>
      <c r="BC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84"/>
      <c r="AX764" s="85"/>
      <c r="AY764" s="3"/>
      <c r="AZ764" s="3"/>
      <c r="BA764" s="3"/>
      <c r="BB764" s="3"/>
      <c r="BC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84"/>
      <c r="AX765" s="85"/>
      <c r="AY765" s="3"/>
      <c r="AZ765" s="3"/>
      <c r="BA765" s="3"/>
      <c r="BB765" s="3"/>
      <c r="BC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84"/>
      <c r="AX766" s="85"/>
      <c r="AY766" s="3"/>
      <c r="AZ766" s="3"/>
      <c r="BA766" s="3"/>
      <c r="BB766" s="3"/>
      <c r="BC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84"/>
      <c r="AX767" s="85"/>
      <c r="AY767" s="3"/>
      <c r="AZ767" s="3"/>
      <c r="BA767" s="3"/>
      <c r="BB767" s="3"/>
      <c r="BC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84"/>
      <c r="AX768" s="85"/>
      <c r="AY768" s="3"/>
      <c r="AZ768" s="3"/>
      <c r="BA768" s="3"/>
      <c r="BB768" s="3"/>
      <c r="BC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84"/>
      <c r="AX769" s="85"/>
      <c r="AY769" s="3"/>
      <c r="AZ769" s="3"/>
      <c r="BA769" s="3"/>
      <c r="BB769" s="3"/>
      <c r="BC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84"/>
      <c r="AX770" s="85"/>
      <c r="AY770" s="3"/>
      <c r="AZ770" s="3"/>
      <c r="BA770" s="3"/>
      <c r="BB770" s="3"/>
      <c r="BC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84"/>
      <c r="AX771" s="85"/>
      <c r="AY771" s="3"/>
      <c r="AZ771" s="3"/>
      <c r="BA771" s="3"/>
      <c r="BB771" s="3"/>
      <c r="BC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84"/>
      <c r="AX772" s="85"/>
      <c r="AY772" s="3"/>
      <c r="AZ772" s="3"/>
      <c r="BA772" s="3"/>
      <c r="BB772" s="3"/>
      <c r="BC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84"/>
      <c r="AX773" s="85"/>
      <c r="AY773" s="3"/>
      <c r="AZ773" s="3"/>
      <c r="BA773" s="3"/>
      <c r="BB773" s="3"/>
      <c r="BC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84"/>
      <c r="AX774" s="85"/>
      <c r="AY774" s="3"/>
      <c r="AZ774" s="3"/>
      <c r="BA774" s="3"/>
      <c r="BB774" s="3"/>
      <c r="BC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84"/>
      <c r="AX775" s="85"/>
      <c r="AY775" s="3"/>
      <c r="AZ775" s="3"/>
      <c r="BA775" s="3"/>
      <c r="BB775" s="3"/>
      <c r="BC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84"/>
      <c r="AX776" s="85"/>
      <c r="AY776" s="3"/>
      <c r="AZ776" s="3"/>
      <c r="BA776" s="3"/>
      <c r="BB776" s="3"/>
      <c r="BC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84"/>
      <c r="AX777" s="85"/>
      <c r="AY777" s="3"/>
      <c r="AZ777" s="3"/>
      <c r="BA777" s="3"/>
      <c r="BB777" s="3"/>
      <c r="BC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84"/>
      <c r="AX778" s="85"/>
      <c r="AY778" s="3"/>
      <c r="AZ778" s="3"/>
      <c r="BA778" s="3"/>
      <c r="BB778" s="3"/>
      <c r="BC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84"/>
      <c r="AX779" s="85"/>
      <c r="AY779" s="3"/>
      <c r="AZ779" s="3"/>
      <c r="BA779" s="3"/>
      <c r="BB779" s="3"/>
      <c r="BC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84"/>
      <c r="AX780" s="85"/>
      <c r="AY780" s="3"/>
      <c r="AZ780" s="3"/>
      <c r="BA780" s="3"/>
      <c r="BB780" s="3"/>
      <c r="BC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84"/>
      <c r="AX781" s="85"/>
      <c r="AY781" s="3"/>
      <c r="AZ781" s="3"/>
      <c r="BA781" s="3"/>
      <c r="BB781" s="3"/>
      <c r="BC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84"/>
      <c r="AX782" s="85"/>
      <c r="AY782" s="3"/>
      <c r="AZ782" s="3"/>
      <c r="BA782" s="3"/>
      <c r="BB782" s="3"/>
      <c r="BC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84"/>
      <c r="AX783" s="85"/>
      <c r="AY783" s="3"/>
      <c r="AZ783" s="3"/>
      <c r="BA783" s="3"/>
      <c r="BB783" s="3"/>
      <c r="BC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84"/>
      <c r="AX784" s="85"/>
      <c r="AY784" s="3"/>
      <c r="AZ784" s="3"/>
      <c r="BA784" s="3"/>
      <c r="BB784" s="3"/>
      <c r="BC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84"/>
      <c r="AX785" s="85"/>
      <c r="AY785" s="3"/>
      <c r="AZ785" s="3"/>
      <c r="BA785" s="3"/>
      <c r="BB785" s="3"/>
      <c r="BC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84"/>
      <c r="AX786" s="85"/>
      <c r="AY786" s="3"/>
      <c r="AZ786" s="3"/>
      <c r="BA786" s="3"/>
      <c r="BB786" s="3"/>
      <c r="BC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84"/>
      <c r="AX787" s="85"/>
      <c r="AY787" s="3"/>
      <c r="AZ787" s="3"/>
      <c r="BA787" s="3"/>
      <c r="BB787" s="3"/>
      <c r="BC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84"/>
      <c r="AX788" s="85"/>
      <c r="AY788" s="3"/>
      <c r="AZ788" s="3"/>
      <c r="BA788" s="3"/>
      <c r="BB788" s="3"/>
      <c r="BC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84"/>
      <c r="AX789" s="85"/>
      <c r="AY789" s="3"/>
      <c r="AZ789" s="3"/>
      <c r="BA789" s="3"/>
      <c r="BB789" s="3"/>
      <c r="BC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84"/>
      <c r="AX790" s="85"/>
      <c r="AY790" s="3"/>
      <c r="AZ790" s="3"/>
      <c r="BA790" s="3"/>
      <c r="BB790" s="3"/>
      <c r="BC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84"/>
      <c r="AX791" s="85"/>
      <c r="AY791" s="3"/>
      <c r="AZ791" s="3"/>
      <c r="BA791" s="3"/>
      <c r="BB791" s="3"/>
      <c r="BC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84"/>
      <c r="AX792" s="85"/>
      <c r="AY792" s="3"/>
      <c r="AZ792" s="3"/>
      <c r="BA792" s="3"/>
      <c r="BB792" s="3"/>
      <c r="BC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84"/>
      <c r="AX793" s="85"/>
      <c r="AY793" s="3"/>
      <c r="AZ793" s="3"/>
      <c r="BA793" s="3"/>
      <c r="BB793" s="3"/>
      <c r="BC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84"/>
      <c r="AX794" s="85"/>
      <c r="AY794" s="3"/>
      <c r="AZ794" s="3"/>
      <c r="BA794" s="3"/>
      <c r="BB794" s="3"/>
      <c r="BC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84"/>
      <c r="AX795" s="85"/>
      <c r="AY795" s="3"/>
      <c r="AZ795" s="3"/>
      <c r="BA795" s="3"/>
      <c r="BB795" s="3"/>
      <c r="BC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84"/>
      <c r="AX796" s="85"/>
      <c r="AY796" s="3"/>
      <c r="AZ796" s="3"/>
      <c r="BA796" s="3"/>
      <c r="BB796" s="3"/>
      <c r="BC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84"/>
      <c r="AX797" s="85"/>
      <c r="AY797" s="3"/>
      <c r="AZ797" s="3"/>
      <c r="BA797" s="3"/>
      <c r="BB797" s="3"/>
      <c r="BC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84"/>
      <c r="AX798" s="85"/>
      <c r="AY798" s="3"/>
      <c r="AZ798" s="3"/>
      <c r="BA798" s="3"/>
      <c r="BB798" s="3"/>
      <c r="BC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84"/>
      <c r="AX799" s="85"/>
      <c r="AY799" s="3"/>
      <c r="AZ799" s="3"/>
      <c r="BA799" s="3"/>
      <c r="BB799" s="3"/>
      <c r="BC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84"/>
      <c r="AX800" s="85"/>
      <c r="AY800" s="3"/>
      <c r="AZ800" s="3"/>
      <c r="BA800" s="3"/>
      <c r="BB800" s="3"/>
      <c r="BC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84"/>
      <c r="AX801" s="85"/>
      <c r="AY801" s="3"/>
      <c r="AZ801" s="3"/>
      <c r="BA801" s="3"/>
      <c r="BB801" s="3"/>
      <c r="BC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84"/>
      <c r="AX802" s="85"/>
      <c r="AY802" s="3"/>
      <c r="AZ802" s="3"/>
      <c r="BA802" s="3"/>
      <c r="BB802" s="3"/>
      <c r="BC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84"/>
      <c r="AX803" s="85"/>
      <c r="AY803" s="3"/>
      <c r="AZ803" s="3"/>
      <c r="BA803" s="3"/>
      <c r="BB803" s="3"/>
      <c r="BC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84"/>
      <c r="AX804" s="85"/>
      <c r="AY804" s="3"/>
      <c r="AZ804" s="3"/>
      <c r="BA804" s="3"/>
      <c r="BB804" s="3"/>
      <c r="BC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84"/>
      <c r="AX805" s="85"/>
      <c r="AY805" s="3"/>
      <c r="AZ805" s="3"/>
      <c r="BA805" s="3"/>
      <c r="BB805" s="3"/>
      <c r="BC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84"/>
      <c r="AX806" s="85"/>
      <c r="AY806" s="3"/>
      <c r="AZ806" s="3"/>
      <c r="BA806" s="3"/>
      <c r="BB806" s="3"/>
      <c r="BC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84"/>
      <c r="AX807" s="85"/>
      <c r="AY807" s="3"/>
      <c r="AZ807" s="3"/>
      <c r="BA807" s="3"/>
      <c r="BB807" s="3"/>
      <c r="BC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84"/>
      <c r="AX808" s="85"/>
      <c r="AY808" s="3"/>
      <c r="AZ808" s="3"/>
      <c r="BA808" s="3"/>
      <c r="BB808" s="3"/>
      <c r="BC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84"/>
      <c r="AX809" s="85"/>
      <c r="AY809" s="3"/>
      <c r="AZ809" s="3"/>
      <c r="BA809" s="3"/>
      <c r="BB809" s="3"/>
      <c r="BC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84"/>
      <c r="AX810" s="85"/>
      <c r="AY810" s="3"/>
      <c r="AZ810" s="3"/>
      <c r="BA810" s="3"/>
      <c r="BB810" s="3"/>
      <c r="BC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84"/>
      <c r="AX811" s="85"/>
      <c r="AY811" s="3"/>
      <c r="AZ811" s="3"/>
      <c r="BA811" s="3"/>
      <c r="BB811" s="3"/>
      <c r="BC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84"/>
      <c r="AX812" s="85"/>
      <c r="AY812" s="3"/>
      <c r="AZ812" s="3"/>
      <c r="BA812" s="3"/>
      <c r="BB812" s="3"/>
      <c r="BC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84"/>
      <c r="AX813" s="85"/>
      <c r="AY813" s="3"/>
      <c r="AZ813" s="3"/>
      <c r="BA813" s="3"/>
      <c r="BB813" s="3"/>
      <c r="BC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84"/>
      <c r="AX814" s="85"/>
      <c r="AY814" s="3"/>
      <c r="AZ814" s="3"/>
      <c r="BA814" s="3"/>
      <c r="BB814" s="3"/>
      <c r="BC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84"/>
      <c r="AX815" s="85"/>
      <c r="AY815" s="3"/>
      <c r="AZ815" s="3"/>
      <c r="BA815" s="3"/>
      <c r="BB815" s="3"/>
      <c r="BC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84"/>
      <c r="AX816" s="85"/>
      <c r="AY816" s="3"/>
      <c r="AZ816" s="3"/>
      <c r="BA816" s="3"/>
      <c r="BB816" s="3"/>
      <c r="BC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84"/>
      <c r="AX817" s="85"/>
      <c r="AY817" s="3"/>
      <c r="AZ817" s="3"/>
      <c r="BA817" s="3"/>
      <c r="BB817" s="3"/>
      <c r="BC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84"/>
      <c r="AX818" s="85"/>
      <c r="AY818" s="3"/>
      <c r="AZ818" s="3"/>
      <c r="BA818" s="3"/>
      <c r="BB818" s="3"/>
      <c r="BC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84"/>
      <c r="AX819" s="85"/>
      <c r="AY819" s="3"/>
      <c r="AZ819" s="3"/>
      <c r="BA819" s="3"/>
      <c r="BB819" s="3"/>
      <c r="BC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84"/>
      <c r="AX820" s="85"/>
      <c r="AY820" s="3"/>
      <c r="AZ820" s="3"/>
      <c r="BA820" s="3"/>
      <c r="BB820" s="3"/>
      <c r="BC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84"/>
      <c r="AX821" s="85"/>
      <c r="AY821" s="3"/>
      <c r="AZ821" s="3"/>
      <c r="BA821" s="3"/>
      <c r="BB821" s="3"/>
      <c r="BC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84"/>
      <c r="AX822" s="85"/>
      <c r="AY822" s="3"/>
      <c r="AZ822" s="3"/>
      <c r="BA822" s="3"/>
      <c r="BB822" s="3"/>
      <c r="BC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84"/>
      <c r="AX823" s="85"/>
      <c r="AY823" s="3"/>
      <c r="AZ823" s="3"/>
      <c r="BA823" s="3"/>
      <c r="BB823" s="3"/>
      <c r="BC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84"/>
      <c r="AX824" s="85"/>
      <c r="AY824" s="3"/>
      <c r="AZ824" s="3"/>
      <c r="BA824" s="3"/>
      <c r="BB824" s="3"/>
      <c r="BC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84"/>
      <c r="AX825" s="85"/>
      <c r="AY825" s="3"/>
      <c r="AZ825" s="3"/>
      <c r="BA825" s="3"/>
      <c r="BB825" s="3"/>
      <c r="BC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84"/>
      <c r="AX826" s="85"/>
      <c r="AY826" s="3"/>
      <c r="AZ826" s="3"/>
      <c r="BA826" s="3"/>
      <c r="BB826" s="3"/>
      <c r="BC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84"/>
      <c r="AX827" s="85"/>
      <c r="AY827" s="3"/>
      <c r="AZ827" s="3"/>
      <c r="BA827" s="3"/>
      <c r="BB827" s="3"/>
      <c r="BC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84"/>
      <c r="AX828" s="85"/>
      <c r="AY828" s="3"/>
      <c r="AZ828" s="3"/>
      <c r="BA828" s="3"/>
      <c r="BB828" s="3"/>
      <c r="BC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84"/>
      <c r="AX829" s="85"/>
      <c r="AY829" s="3"/>
      <c r="AZ829" s="3"/>
      <c r="BA829" s="3"/>
      <c r="BB829" s="3"/>
      <c r="BC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84"/>
      <c r="AX830" s="85"/>
      <c r="AY830" s="3"/>
      <c r="AZ830" s="3"/>
      <c r="BA830" s="3"/>
      <c r="BB830" s="3"/>
      <c r="BC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84"/>
      <c r="AX831" s="85"/>
      <c r="AY831" s="3"/>
      <c r="AZ831" s="3"/>
      <c r="BA831" s="3"/>
      <c r="BB831" s="3"/>
      <c r="BC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84"/>
      <c r="AX832" s="85"/>
      <c r="AY832" s="3"/>
      <c r="AZ832" s="3"/>
      <c r="BA832" s="3"/>
      <c r="BB832" s="3"/>
      <c r="BC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84"/>
      <c r="AX833" s="85"/>
      <c r="AY833" s="3"/>
      <c r="AZ833" s="3"/>
      <c r="BA833" s="3"/>
      <c r="BB833" s="3"/>
      <c r="BC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84"/>
      <c r="AX834" s="85"/>
      <c r="AY834" s="3"/>
      <c r="AZ834" s="3"/>
      <c r="BA834" s="3"/>
      <c r="BB834" s="3"/>
      <c r="BC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84"/>
      <c r="AX835" s="85"/>
      <c r="AY835" s="3"/>
      <c r="AZ835" s="3"/>
      <c r="BA835" s="3"/>
      <c r="BB835" s="3"/>
      <c r="BC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84"/>
      <c r="AX836" s="85"/>
      <c r="AY836" s="3"/>
      <c r="AZ836" s="3"/>
      <c r="BA836" s="3"/>
      <c r="BB836" s="3"/>
      <c r="BC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84"/>
      <c r="AX837" s="85"/>
      <c r="AY837" s="3"/>
      <c r="AZ837" s="3"/>
      <c r="BA837" s="3"/>
      <c r="BB837" s="3"/>
      <c r="BC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84"/>
      <c r="AX838" s="85"/>
      <c r="AY838" s="3"/>
      <c r="AZ838" s="3"/>
      <c r="BA838" s="3"/>
      <c r="BB838" s="3"/>
      <c r="BC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84"/>
      <c r="AX839" s="85"/>
      <c r="AY839" s="3"/>
      <c r="AZ839" s="3"/>
      <c r="BA839" s="3"/>
      <c r="BB839" s="3"/>
      <c r="BC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84"/>
      <c r="AX840" s="85"/>
      <c r="AY840" s="3"/>
      <c r="AZ840" s="3"/>
      <c r="BA840" s="3"/>
      <c r="BB840" s="3"/>
      <c r="BC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84"/>
      <c r="AX841" s="85"/>
      <c r="AY841" s="3"/>
      <c r="AZ841" s="3"/>
      <c r="BA841" s="3"/>
      <c r="BB841" s="3"/>
      <c r="BC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84"/>
      <c r="AX842" s="85"/>
      <c r="AY842" s="3"/>
      <c r="AZ842" s="3"/>
      <c r="BA842" s="3"/>
      <c r="BB842" s="3"/>
      <c r="BC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84"/>
      <c r="AX843" s="85"/>
      <c r="AY843" s="3"/>
      <c r="AZ843" s="3"/>
      <c r="BA843" s="3"/>
      <c r="BB843" s="3"/>
      <c r="BC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84"/>
      <c r="AX844" s="85"/>
      <c r="AY844" s="3"/>
      <c r="AZ844" s="3"/>
      <c r="BA844" s="3"/>
      <c r="BB844" s="3"/>
      <c r="BC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84"/>
      <c r="AX845" s="85"/>
      <c r="AY845" s="3"/>
      <c r="AZ845" s="3"/>
      <c r="BA845" s="3"/>
      <c r="BB845" s="3"/>
      <c r="BC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84"/>
      <c r="AX846" s="85"/>
      <c r="AY846" s="3"/>
      <c r="AZ846" s="3"/>
      <c r="BA846" s="3"/>
      <c r="BB846" s="3"/>
      <c r="BC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84"/>
      <c r="AX847" s="85"/>
      <c r="AY847" s="3"/>
      <c r="AZ847" s="3"/>
      <c r="BA847" s="3"/>
      <c r="BB847" s="3"/>
      <c r="BC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84"/>
      <c r="AX848" s="85"/>
      <c r="AY848" s="3"/>
      <c r="AZ848" s="3"/>
      <c r="BA848" s="3"/>
      <c r="BB848" s="3"/>
      <c r="BC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84"/>
      <c r="AX849" s="85"/>
      <c r="AY849" s="3"/>
      <c r="AZ849" s="3"/>
      <c r="BA849" s="3"/>
      <c r="BB849" s="3"/>
      <c r="BC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84"/>
      <c r="AX850" s="85"/>
      <c r="AY850" s="3"/>
      <c r="AZ850" s="3"/>
      <c r="BA850" s="3"/>
      <c r="BB850" s="3"/>
      <c r="BC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84"/>
      <c r="AX851" s="85"/>
      <c r="AY851" s="3"/>
      <c r="AZ851" s="3"/>
      <c r="BA851" s="3"/>
      <c r="BB851" s="3"/>
      <c r="BC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84"/>
      <c r="AX852" s="85"/>
      <c r="AY852" s="3"/>
      <c r="AZ852" s="3"/>
      <c r="BA852" s="3"/>
      <c r="BB852" s="3"/>
      <c r="BC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84"/>
      <c r="AX853" s="85"/>
      <c r="AY853" s="3"/>
      <c r="AZ853" s="3"/>
      <c r="BA853" s="3"/>
      <c r="BB853" s="3"/>
      <c r="BC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84"/>
      <c r="AX854" s="85"/>
      <c r="AY854" s="3"/>
      <c r="AZ854" s="3"/>
      <c r="BA854" s="3"/>
      <c r="BB854" s="3"/>
      <c r="BC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84"/>
      <c r="AX855" s="85"/>
      <c r="AY855" s="3"/>
      <c r="AZ855" s="3"/>
      <c r="BA855" s="3"/>
      <c r="BB855" s="3"/>
      <c r="BC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84"/>
      <c r="AX856" s="85"/>
      <c r="AY856" s="3"/>
      <c r="AZ856" s="3"/>
      <c r="BA856" s="3"/>
      <c r="BB856" s="3"/>
      <c r="BC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84"/>
      <c r="AX857" s="85"/>
      <c r="AY857" s="3"/>
      <c r="AZ857" s="3"/>
      <c r="BA857" s="3"/>
      <c r="BB857" s="3"/>
      <c r="BC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84"/>
      <c r="AX858" s="85"/>
      <c r="AY858" s="3"/>
      <c r="AZ858" s="3"/>
      <c r="BA858" s="3"/>
      <c r="BB858" s="3"/>
      <c r="BC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84"/>
      <c r="AX859" s="85"/>
      <c r="AY859" s="3"/>
      <c r="AZ859" s="3"/>
      <c r="BA859" s="3"/>
      <c r="BB859" s="3"/>
      <c r="BC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84"/>
      <c r="AX860" s="85"/>
      <c r="AY860" s="3"/>
      <c r="AZ860" s="3"/>
      <c r="BA860" s="3"/>
      <c r="BB860" s="3"/>
      <c r="BC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84"/>
      <c r="AX861" s="85"/>
      <c r="AY861" s="3"/>
      <c r="AZ861" s="3"/>
      <c r="BA861" s="3"/>
      <c r="BB861" s="3"/>
      <c r="BC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84"/>
      <c r="AX862" s="85"/>
      <c r="AY862" s="3"/>
      <c r="AZ862" s="3"/>
      <c r="BA862" s="3"/>
      <c r="BB862" s="3"/>
      <c r="BC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84"/>
      <c r="AX863" s="85"/>
      <c r="AY863" s="3"/>
      <c r="AZ863" s="3"/>
      <c r="BA863" s="3"/>
      <c r="BB863" s="3"/>
      <c r="BC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84"/>
      <c r="AX864" s="85"/>
      <c r="AY864" s="3"/>
      <c r="AZ864" s="3"/>
      <c r="BA864" s="3"/>
      <c r="BB864" s="3"/>
      <c r="BC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84"/>
      <c r="AX865" s="85"/>
      <c r="AY865" s="3"/>
      <c r="AZ865" s="3"/>
      <c r="BA865" s="3"/>
      <c r="BB865" s="3"/>
      <c r="BC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84"/>
      <c r="AX866" s="85"/>
      <c r="AY866" s="3"/>
      <c r="AZ866" s="3"/>
      <c r="BA866" s="3"/>
      <c r="BB866" s="3"/>
      <c r="BC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84"/>
      <c r="AX867" s="85"/>
      <c r="AY867" s="3"/>
      <c r="AZ867" s="3"/>
      <c r="BA867" s="3"/>
      <c r="BB867" s="3"/>
      <c r="BC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84"/>
      <c r="AX868" s="85"/>
      <c r="AY868" s="3"/>
      <c r="AZ868" s="3"/>
      <c r="BA868" s="3"/>
      <c r="BB868" s="3"/>
      <c r="BC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84"/>
      <c r="AX869" s="85"/>
      <c r="AY869" s="3"/>
      <c r="AZ869" s="3"/>
      <c r="BA869" s="3"/>
      <c r="BB869" s="3"/>
      <c r="BC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84"/>
      <c r="AX870" s="85"/>
      <c r="AY870" s="3"/>
      <c r="AZ870" s="3"/>
      <c r="BA870" s="3"/>
      <c r="BB870" s="3"/>
      <c r="BC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84"/>
      <c r="AX871" s="85"/>
      <c r="AY871" s="3"/>
      <c r="AZ871" s="3"/>
      <c r="BA871" s="3"/>
      <c r="BB871" s="3"/>
      <c r="BC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84"/>
      <c r="AX872" s="85"/>
      <c r="AY872" s="3"/>
      <c r="AZ872" s="3"/>
      <c r="BA872" s="3"/>
      <c r="BB872" s="3"/>
      <c r="BC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84"/>
      <c r="AX873" s="85"/>
      <c r="AY873" s="3"/>
      <c r="AZ873" s="3"/>
      <c r="BA873" s="3"/>
      <c r="BB873" s="3"/>
      <c r="BC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84"/>
      <c r="AX874" s="85"/>
      <c r="AY874" s="3"/>
      <c r="AZ874" s="3"/>
      <c r="BA874" s="3"/>
      <c r="BB874" s="3"/>
      <c r="BC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84"/>
      <c r="AX875" s="85"/>
      <c r="AY875" s="3"/>
      <c r="AZ875" s="3"/>
      <c r="BA875" s="3"/>
      <c r="BB875" s="3"/>
      <c r="BC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84"/>
      <c r="AX876" s="85"/>
      <c r="AY876" s="3"/>
      <c r="AZ876" s="3"/>
      <c r="BA876" s="3"/>
      <c r="BB876" s="3"/>
      <c r="BC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84"/>
      <c r="AX877" s="85"/>
      <c r="AY877" s="3"/>
      <c r="AZ877" s="3"/>
      <c r="BA877" s="3"/>
      <c r="BB877" s="3"/>
      <c r="BC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84"/>
      <c r="AX878" s="85"/>
      <c r="AY878" s="3"/>
      <c r="AZ878" s="3"/>
      <c r="BA878" s="3"/>
      <c r="BB878" s="3"/>
      <c r="BC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84"/>
      <c r="AX879" s="85"/>
      <c r="AY879" s="3"/>
      <c r="AZ879" s="3"/>
      <c r="BA879" s="3"/>
      <c r="BB879" s="3"/>
      <c r="BC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84"/>
      <c r="AX880" s="85"/>
      <c r="AY880" s="3"/>
      <c r="AZ880" s="3"/>
      <c r="BA880" s="3"/>
      <c r="BB880" s="3"/>
      <c r="BC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84"/>
      <c r="AX881" s="85"/>
      <c r="AY881" s="3"/>
      <c r="AZ881" s="3"/>
      <c r="BA881" s="3"/>
      <c r="BB881" s="3"/>
      <c r="BC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84"/>
      <c r="AX882" s="85"/>
      <c r="AY882" s="3"/>
      <c r="AZ882" s="3"/>
      <c r="BA882" s="3"/>
      <c r="BB882" s="3"/>
      <c r="BC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84"/>
      <c r="AX883" s="85"/>
      <c r="AY883" s="3"/>
      <c r="AZ883" s="3"/>
      <c r="BA883" s="3"/>
      <c r="BB883" s="3"/>
      <c r="BC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84"/>
      <c r="AX884" s="85"/>
      <c r="AY884" s="3"/>
      <c r="AZ884" s="3"/>
      <c r="BA884" s="3"/>
      <c r="BB884" s="3"/>
      <c r="BC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84"/>
      <c r="AX885" s="85"/>
      <c r="AY885" s="3"/>
      <c r="AZ885" s="3"/>
      <c r="BA885" s="3"/>
      <c r="BB885" s="3"/>
      <c r="BC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84"/>
      <c r="AX886" s="85"/>
      <c r="AY886" s="3"/>
      <c r="AZ886" s="3"/>
      <c r="BA886" s="3"/>
      <c r="BB886" s="3"/>
      <c r="BC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84"/>
      <c r="AX887" s="85"/>
      <c r="AY887" s="3"/>
      <c r="AZ887" s="3"/>
      <c r="BA887" s="3"/>
      <c r="BB887" s="3"/>
      <c r="BC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84"/>
      <c r="AX888" s="85"/>
      <c r="AY888" s="3"/>
      <c r="AZ888" s="3"/>
      <c r="BA888" s="3"/>
      <c r="BB888" s="3"/>
      <c r="BC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84"/>
      <c r="AX889" s="85"/>
      <c r="AY889" s="3"/>
      <c r="AZ889" s="3"/>
      <c r="BA889" s="3"/>
      <c r="BB889" s="3"/>
      <c r="BC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84"/>
      <c r="AX890" s="85"/>
      <c r="AY890" s="3"/>
      <c r="AZ890" s="3"/>
      <c r="BA890" s="3"/>
      <c r="BB890" s="3"/>
      <c r="BC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84"/>
      <c r="AX891" s="85"/>
      <c r="AY891" s="3"/>
      <c r="AZ891" s="3"/>
      <c r="BA891" s="3"/>
      <c r="BB891" s="3"/>
      <c r="BC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84"/>
      <c r="AX892" s="85"/>
      <c r="AY892" s="3"/>
      <c r="AZ892" s="3"/>
      <c r="BA892" s="3"/>
      <c r="BB892" s="3"/>
      <c r="BC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84"/>
      <c r="AX893" s="85"/>
      <c r="AY893" s="3"/>
      <c r="AZ893" s="3"/>
      <c r="BA893" s="3"/>
      <c r="BB893" s="3"/>
      <c r="BC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84"/>
      <c r="AX894" s="85"/>
      <c r="AY894" s="3"/>
      <c r="AZ894" s="3"/>
      <c r="BA894" s="3"/>
      <c r="BB894" s="3"/>
      <c r="BC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84"/>
      <c r="AX895" s="85"/>
      <c r="AY895" s="3"/>
      <c r="AZ895" s="3"/>
      <c r="BA895" s="3"/>
      <c r="BB895" s="3"/>
      <c r="BC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84"/>
      <c r="AX896" s="85"/>
      <c r="AY896" s="3"/>
      <c r="AZ896" s="3"/>
      <c r="BA896" s="3"/>
      <c r="BB896" s="3"/>
      <c r="BC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84"/>
      <c r="AX897" s="85"/>
      <c r="AY897" s="3"/>
      <c r="AZ897" s="3"/>
      <c r="BA897" s="3"/>
      <c r="BB897" s="3"/>
      <c r="BC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84"/>
      <c r="AX898" s="85"/>
      <c r="AY898" s="3"/>
      <c r="AZ898" s="3"/>
      <c r="BA898" s="3"/>
      <c r="BB898" s="3"/>
      <c r="BC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84"/>
      <c r="AX899" s="85"/>
      <c r="AY899" s="3"/>
      <c r="AZ899" s="3"/>
      <c r="BA899" s="3"/>
      <c r="BB899" s="3"/>
      <c r="BC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84"/>
      <c r="AX900" s="85"/>
      <c r="AY900" s="3"/>
      <c r="AZ900" s="3"/>
      <c r="BA900" s="3"/>
      <c r="BB900" s="3"/>
      <c r="BC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84"/>
      <c r="AX901" s="85"/>
      <c r="AY901" s="3"/>
      <c r="AZ901" s="3"/>
      <c r="BA901" s="3"/>
      <c r="BB901" s="3"/>
      <c r="BC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84"/>
      <c r="AX902" s="85"/>
      <c r="AY902" s="3"/>
      <c r="AZ902" s="3"/>
      <c r="BA902" s="3"/>
      <c r="BB902" s="3"/>
      <c r="BC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84"/>
      <c r="AX903" s="85"/>
      <c r="AY903" s="3"/>
      <c r="AZ903" s="3"/>
      <c r="BA903" s="3"/>
      <c r="BB903" s="3"/>
      <c r="BC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84"/>
      <c r="AX904" s="85"/>
      <c r="AY904" s="3"/>
      <c r="AZ904" s="3"/>
      <c r="BA904" s="3"/>
      <c r="BB904" s="3"/>
      <c r="BC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84"/>
      <c r="AX905" s="85"/>
      <c r="AY905" s="3"/>
      <c r="AZ905" s="3"/>
      <c r="BA905" s="3"/>
      <c r="BB905" s="3"/>
      <c r="BC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84"/>
      <c r="AX906" s="85"/>
      <c r="AY906" s="3"/>
      <c r="AZ906" s="3"/>
      <c r="BA906" s="3"/>
      <c r="BB906" s="3"/>
      <c r="BC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84"/>
      <c r="AX907" s="85"/>
      <c r="AY907" s="3"/>
      <c r="AZ907" s="3"/>
      <c r="BA907" s="3"/>
      <c r="BB907" s="3"/>
      <c r="BC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84"/>
      <c r="AX908" s="85"/>
      <c r="AY908" s="3"/>
      <c r="AZ908" s="3"/>
      <c r="BA908" s="3"/>
      <c r="BB908" s="3"/>
      <c r="BC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84"/>
      <c r="AX909" s="85"/>
      <c r="AY909" s="3"/>
      <c r="AZ909" s="3"/>
      <c r="BA909" s="3"/>
      <c r="BB909" s="3"/>
      <c r="BC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84"/>
      <c r="AX910" s="85"/>
      <c r="AY910" s="3"/>
      <c r="AZ910" s="3"/>
      <c r="BA910" s="3"/>
      <c r="BB910" s="3"/>
      <c r="BC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84"/>
      <c r="AX911" s="85"/>
      <c r="AY911" s="3"/>
      <c r="AZ911" s="3"/>
      <c r="BA911" s="3"/>
      <c r="BB911" s="3"/>
      <c r="BC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84"/>
      <c r="AX912" s="85"/>
      <c r="AY912" s="3"/>
      <c r="AZ912" s="3"/>
      <c r="BA912" s="3"/>
      <c r="BB912" s="3"/>
      <c r="BC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84"/>
      <c r="AX913" s="85"/>
      <c r="AY913" s="3"/>
      <c r="AZ913" s="3"/>
      <c r="BA913" s="3"/>
      <c r="BB913" s="3"/>
      <c r="BC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84"/>
      <c r="AX914" s="85"/>
      <c r="AY914" s="3"/>
      <c r="AZ914" s="3"/>
      <c r="BA914" s="3"/>
      <c r="BB914" s="3"/>
      <c r="BC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84"/>
      <c r="AX915" s="85"/>
      <c r="AY915" s="3"/>
      <c r="AZ915" s="3"/>
      <c r="BA915" s="3"/>
      <c r="BB915" s="3"/>
      <c r="BC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84"/>
      <c r="AX916" s="85"/>
      <c r="AY916" s="3"/>
      <c r="AZ916" s="3"/>
      <c r="BA916" s="3"/>
      <c r="BB916" s="3"/>
      <c r="BC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84"/>
      <c r="AX917" s="85"/>
      <c r="AY917" s="3"/>
      <c r="AZ917" s="3"/>
      <c r="BA917" s="3"/>
      <c r="BB917" s="3"/>
      <c r="BC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84"/>
      <c r="AX918" s="85"/>
      <c r="AY918" s="3"/>
      <c r="AZ918" s="3"/>
      <c r="BA918" s="3"/>
      <c r="BB918" s="3"/>
      <c r="BC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84"/>
      <c r="AX919" s="85"/>
      <c r="AY919" s="3"/>
      <c r="AZ919" s="3"/>
      <c r="BA919" s="3"/>
      <c r="BB919" s="3"/>
      <c r="BC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84"/>
      <c r="AX920" s="85"/>
      <c r="AY920" s="3"/>
      <c r="AZ920" s="3"/>
      <c r="BA920" s="3"/>
      <c r="BB920" s="3"/>
      <c r="BC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84"/>
      <c r="AX921" s="85"/>
      <c r="AY921" s="3"/>
      <c r="AZ921" s="3"/>
      <c r="BA921" s="3"/>
      <c r="BB921" s="3"/>
      <c r="BC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84"/>
      <c r="AX922" s="85"/>
      <c r="AY922" s="3"/>
      <c r="AZ922" s="3"/>
      <c r="BA922" s="3"/>
      <c r="BB922" s="3"/>
      <c r="BC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84"/>
      <c r="AX923" s="85"/>
      <c r="AY923" s="3"/>
      <c r="AZ923" s="3"/>
      <c r="BA923" s="3"/>
      <c r="BB923" s="3"/>
      <c r="BC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84"/>
      <c r="AX924" s="85"/>
      <c r="AY924" s="3"/>
      <c r="AZ924" s="3"/>
      <c r="BA924" s="3"/>
      <c r="BB924" s="3"/>
      <c r="BC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84"/>
      <c r="AX925" s="85"/>
      <c r="AY925" s="3"/>
      <c r="AZ925" s="3"/>
      <c r="BA925" s="3"/>
      <c r="BB925" s="3"/>
      <c r="BC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84"/>
      <c r="AX926" s="85"/>
      <c r="AY926" s="3"/>
      <c r="AZ926" s="3"/>
      <c r="BA926" s="3"/>
      <c r="BB926" s="3"/>
      <c r="BC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84"/>
      <c r="AX927" s="85"/>
      <c r="AY927" s="3"/>
      <c r="AZ927" s="3"/>
      <c r="BA927" s="3"/>
      <c r="BB927" s="3"/>
      <c r="BC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84"/>
      <c r="AX928" s="85"/>
      <c r="AY928" s="3"/>
      <c r="AZ928" s="3"/>
      <c r="BA928" s="3"/>
      <c r="BB928" s="3"/>
      <c r="BC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84"/>
      <c r="AX929" s="85"/>
      <c r="AY929" s="3"/>
      <c r="AZ929" s="3"/>
      <c r="BA929" s="3"/>
      <c r="BB929" s="3"/>
      <c r="BC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84"/>
      <c r="AX930" s="85"/>
      <c r="AY930" s="3"/>
      <c r="AZ930" s="3"/>
      <c r="BA930" s="3"/>
      <c r="BB930" s="3"/>
      <c r="BC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84"/>
      <c r="AX931" s="85"/>
      <c r="AY931" s="3"/>
      <c r="AZ931" s="3"/>
      <c r="BA931" s="3"/>
      <c r="BB931" s="3"/>
      <c r="BC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84"/>
      <c r="AX932" s="85"/>
      <c r="AY932" s="3"/>
      <c r="AZ932" s="3"/>
      <c r="BA932" s="3"/>
      <c r="BB932" s="3"/>
      <c r="BC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84"/>
      <c r="AX933" s="85"/>
      <c r="AY933" s="3"/>
      <c r="AZ933" s="3"/>
      <c r="BA933" s="3"/>
      <c r="BB933" s="3"/>
      <c r="BC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84"/>
      <c r="AX934" s="85"/>
      <c r="AY934" s="3"/>
      <c r="AZ934" s="3"/>
      <c r="BA934" s="3"/>
      <c r="BB934" s="3"/>
      <c r="BC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84"/>
      <c r="AX935" s="85"/>
      <c r="AY935" s="3"/>
      <c r="AZ935" s="3"/>
      <c r="BA935" s="3"/>
      <c r="BB935" s="3"/>
      <c r="BC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84"/>
      <c r="AX936" s="85"/>
      <c r="AY936" s="3"/>
      <c r="AZ936" s="3"/>
      <c r="BA936" s="3"/>
      <c r="BB936" s="3"/>
      <c r="BC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84"/>
      <c r="AX937" s="85"/>
      <c r="AY937" s="3"/>
      <c r="AZ937" s="3"/>
      <c r="BA937" s="3"/>
      <c r="BB937" s="3"/>
      <c r="BC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84"/>
      <c r="AX938" s="85"/>
      <c r="AY938" s="3"/>
      <c r="AZ938" s="3"/>
      <c r="BA938" s="3"/>
      <c r="BB938" s="3"/>
      <c r="BC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84"/>
      <c r="AX939" s="85"/>
      <c r="AY939" s="3"/>
      <c r="AZ939" s="3"/>
      <c r="BA939" s="3"/>
      <c r="BB939" s="3"/>
      <c r="BC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84"/>
      <c r="AX940" s="85"/>
      <c r="AY940" s="3"/>
      <c r="AZ940" s="3"/>
      <c r="BA940" s="3"/>
      <c r="BB940" s="3"/>
      <c r="BC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84"/>
      <c r="AX941" s="85"/>
      <c r="AY941" s="3"/>
      <c r="AZ941" s="3"/>
      <c r="BA941" s="3"/>
      <c r="BB941" s="3"/>
      <c r="BC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84"/>
      <c r="AX942" s="85"/>
      <c r="AY942" s="3"/>
      <c r="AZ942" s="3"/>
      <c r="BA942" s="3"/>
      <c r="BB942" s="3"/>
      <c r="BC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84"/>
      <c r="AX943" s="85"/>
      <c r="AY943" s="3"/>
      <c r="AZ943" s="3"/>
      <c r="BA943" s="3"/>
      <c r="BB943" s="3"/>
      <c r="BC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84"/>
      <c r="AX944" s="85"/>
      <c r="AY944" s="3"/>
      <c r="AZ944" s="3"/>
      <c r="BA944" s="3"/>
      <c r="BB944" s="3"/>
      <c r="BC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84"/>
      <c r="AX945" s="85"/>
      <c r="AY945" s="3"/>
      <c r="AZ945" s="3"/>
      <c r="BA945" s="3"/>
      <c r="BB945" s="3"/>
      <c r="BC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84"/>
      <c r="AX946" s="85"/>
      <c r="AY946" s="3"/>
      <c r="AZ946" s="3"/>
      <c r="BA946" s="3"/>
      <c r="BB946" s="3"/>
      <c r="BC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84"/>
      <c r="AX947" s="85"/>
      <c r="AY947" s="3"/>
      <c r="AZ947" s="3"/>
      <c r="BA947" s="3"/>
      <c r="BB947" s="3"/>
      <c r="BC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84"/>
      <c r="AX948" s="85"/>
      <c r="AY948" s="3"/>
      <c r="AZ948" s="3"/>
      <c r="BA948" s="3"/>
      <c r="BB948" s="3"/>
      <c r="BC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84"/>
      <c r="AX949" s="85"/>
      <c r="AY949" s="3"/>
      <c r="AZ949" s="3"/>
      <c r="BA949" s="3"/>
      <c r="BB949" s="3"/>
      <c r="BC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84"/>
      <c r="AX950" s="85"/>
      <c r="AY950" s="3"/>
      <c r="AZ950" s="3"/>
      <c r="BA950" s="3"/>
      <c r="BB950" s="3"/>
      <c r="BC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84"/>
      <c r="AX951" s="85"/>
      <c r="AY951" s="3"/>
      <c r="AZ951" s="3"/>
      <c r="BA951" s="3"/>
      <c r="BB951" s="3"/>
      <c r="BC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84"/>
      <c r="AX952" s="85"/>
      <c r="AY952" s="3"/>
      <c r="AZ952" s="3"/>
      <c r="BA952" s="3"/>
      <c r="BB952" s="3"/>
      <c r="BC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84"/>
      <c r="AX953" s="85"/>
      <c r="AY953" s="3"/>
      <c r="AZ953" s="3"/>
      <c r="BA953" s="3"/>
      <c r="BB953" s="3"/>
      <c r="BC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84"/>
      <c r="AX954" s="85"/>
      <c r="AY954" s="3"/>
      <c r="AZ954" s="3"/>
      <c r="BA954" s="3"/>
      <c r="BB954" s="3"/>
      <c r="BC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84"/>
      <c r="AX955" s="85"/>
      <c r="AY955" s="3"/>
      <c r="AZ955" s="3"/>
      <c r="BA955" s="3"/>
      <c r="BB955" s="3"/>
      <c r="BC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84"/>
      <c r="AX956" s="85"/>
      <c r="AY956" s="3"/>
      <c r="AZ956" s="3"/>
      <c r="BA956" s="3"/>
      <c r="BB956" s="3"/>
      <c r="BC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84"/>
      <c r="AX957" s="85"/>
      <c r="AY957" s="3"/>
      <c r="AZ957" s="3"/>
      <c r="BA957" s="3"/>
      <c r="BB957" s="3"/>
      <c r="BC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84"/>
      <c r="AX958" s="85"/>
      <c r="AY958" s="3"/>
      <c r="AZ958" s="3"/>
      <c r="BA958" s="3"/>
      <c r="BB958" s="3"/>
      <c r="BC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84"/>
      <c r="AX959" s="85"/>
      <c r="AY959" s="3"/>
      <c r="AZ959" s="3"/>
      <c r="BA959" s="3"/>
      <c r="BB959" s="3"/>
      <c r="BC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84"/>
      <c r="AX960" s="85"/>
      <c r="AY960" s="3"/>
      <c r="AZ960" s="3"/>
      <c r="BA960" s="3"/>
      <c r="BB960" s="3"/>
      <c r="BC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84"/>
      <c r="AX961" s="85"/>
      <c r="AY961" s="3"/>
      <c r="AZ961" s="3"/>
      <c r="BA961" s="3"/>
      <c r="BB961" s="3"/>
      <c r="BC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84"/>
      <c r="AX962" s="85"/>
      <c r="AY962" s="3"/>
      <c r="AZ962" s="3"/>
      <c r="BA962" s="3"/>
      <c r="BB962" s="3"/>
      <c r="BC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84"/>
      <c r="AX963" s="85"/>
      <c r="AY963" s="3"/>
      <c r="AZ963" s="3"/>
      <c r="BA963" s="3"/>
      <c r="BB963" s="3"/>
      <c r="BC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84"/>
      <c r="AX964" s="85"/>
      <c r="AY964" s="3"/>
      <c r="AZ964" s="3"/>
      <c r="BA964" s="3"/>
      <c r="BB964" s="3"/>
      <c r="BC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84"/>
      <c r="AX965" s="85"/>
      <c r="AY965" s="3"/>
      <c r="AZ965" s="3"/>
      <c r="BA965" s="3"/>
      <c r="BB965" s="3"/>
      <c r="BC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84"/>
      <c r="AX966" s="85"/>
      <c r="AY966" s="3"/>
      <c r="AZ966" s="3"/>
      <c r="BA966" s="3"/>
      <c r="BB966" s="3"/>
      <c r="BC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84"/>
      <c r="AX967" s="85"/>
      <c r="AY967" s="3"/>
      <c r="AZ967" s="3"/>
      <c r="BA967" s="3"/>
      <c r="BB967" s="3"/>
      <c r="BC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84"/>
      <c r="AX968" s="85"/>
      <c r="AY968" s="3"/>
      <c r="AZ968" s="3"/>
      <c r="BA968" s="3"/>
      <c r="BB968" s="3"/>
      <c r="BC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84"/>
      <c r="AX969" s="85"/>
      <c r="AY969" s="3"/>
      <c r="AZ969" s="3"/>
      <c r="BA969" s="3"/>
      <c r="BB969" s="3"/>
      <c r="BC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84"/>
      <c r="AX970" s="85"/>
      <c r="AY970" s="3"/>
      <c r="AZ970" s="3"/>
      <c r="BA970" s="3"/>
      <c r="BB970" s="3"/>
      <c r="BC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84"/>
      <c r="AX971" s="85"/>
      <c r="AY971" s="3"/>
      <c r="AZ971" s="3"/>
      <c r="BA971" s="3"/>
      <c r="BB971" s="3"/>
      <c r="BC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84"/>
      <c r="AX972" s="85"/>
      <c r="AY972" s="3"/>
      <c r="AZ972" s="3"/>
      <c r="BA972" s="3"/>
      <c r="BB972" s="3"/>
      <c r="BC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84"/>
      <c r="AX973" s="85"/>
      <c r="AY973" s="3"/>
      <c r="AZ973" s="3"/>
      <c r="BA973" s="3"/>
      <c r="BB973" s="3"/>
      <c r="BC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84"/>
      <c r="AX974" s="85"/>
      <c r="AY974" s="3"/>
      <c r="AZ974" s="3"/>
      <c r="BA974" s="3"/>
      <c r="BB974" s="3"/>
      <c r="BC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84"/>
      <c r="AX975" s="85"/>
      <c r="AY975" s="3"/>
      <c r="AZ975" s="3"/>
      <c r="BA975" s="3"/>
      <c r="BB975" s="3"/>
      <c r="BC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84"/>
      <c r="AX976" s="85"/>
      <c r="AY976" s="3"/>
      <c r="AZ976" s="3"/>
      <c r="BA976" s="3"/>
      <c r="BB976" s="3"/>
      <c r="BC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84"/>
      <c r="AX977" s="85"/>
      <c r="AY977" s="3"/>
      <c r="AZ977" s="3"/>
      <c r="BA977" s="3"/>
      <c r="BB977" s="3"/>
      <c r="BC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84"/>
      <c r="AX978" s="85"/>
      <c r="AY978" s="3"/>
      <c r="AZ978" s="3"/>
      <c r="BA978" s="3"/>
      <c r="BB978" s="3"/>
      <c r="BC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84"/>
      <c r="AX979" s="85"/>
      <c r="AY979" s="3"/>
      <c r="AZ979" s="3"/>
      <c r="BA979" s="3"/>
      <c r="BB979" s="3"/>
      <c r="BC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84"/>
      <c r="AX980" s="85"/>
      <c r="AY980" s="3"/>
      <c r="AZ980" s="3"/>
      <c r="BA980" s="3"/>
      <c r="BB980" s="3"/>
      <c r="BC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84"/>
      <c r="AX981" s="85"/>
      <c r="AY981" s="3"/>
      <c r="AZ981" s="3"/>
      <c r="BA981" s="3"/>
      <c r="BB981" s="3"/>
      <c r="BC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84"/>
      <c r="AX982" s="85"/>
      <c r="AY982" s="3"/>
      <c r="AZ982" s="3"/>
      <c r="BA982" s="3"/>
      <c r="BB982" s="3"/>
      <c r="BC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84"/>
      <c r="AX983" s="85"/>
      <c r="AY983" s="3"/>
      <c r="AZ983" s="3"/>
      <c r="BA983" s="3"/>
      <c r="BB983" s="3"/>
      <c r="BC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84"/>
      <c r="AX984" s="85"/>
      <c r="AY984" s="3"/>
      <c r="AZ984" s="3"/>
      <c r="BA984" s="3"/>
      <c r="BB984" s="3"/>
      <c r="BC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84"/>
      <c r="AX985" s="85"/>
      <c r="AY985" s="3"/>
      <c r="AZ985" s="3"/>
      <c r="BA985" s="3"/>
      <c r="BB985" s="3"/>
      <c r="BC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84"/>
      <c r="AX986" s="85"/>
      <c r="AY986" s="3"/>
      <c r="AZ986" s="3"/>
      <c r="BA986" s="3"/>
      <c r="BB986" s="3"/>
      <c r="BC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84"/>
      <c r="AX987" s="85"/>
      <c r="AY987" s="3"/>
      <c r="AZ987" s="3"/>
      <c r="BA987" s="3"/>
      <c r="BB987" s="3"/>
      <c r="BC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84"/>
      <c r="AX988" s="85"/>
      <c r="AY988" s="3"/>
      <c r="AZ988" s="3"/>
      <c r="BA988" s="3"/>
      <c r="BB988" s="3"/>
      <c r="BC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84"/>
      <c r="AX989" s="85"/>
      <c r="AY989" s="3"/>
      <c r="AZ989" s="3"/>
      <c r="BA989" s="3"/>
      <c r="BB989" s="3"/>
      <c r="BC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84"/>
      <c r="AX990" s="85"/>
      <c r="AY990" s="3"/>
      <c r="AZ990" s="3"/>
      <c r="BA990" s="3"/>
      <c r="BB990" s="3"/>
      <c r="BC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84"/>
      <c r="AX991" s="85"/>
      <c r="AY991" s="3"/>
      <c r="AZ991" s="3"/>
      <c r="BA991" s="3"/>
      <c r="BB991" s="3"/>
      <c r="BC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84"/>
      <c r="AX992" s="85"/>
      <c r="AY992" s="3"/>
      <c r="AZ992" s="3"/>
      <c r="BA992" s="3"/>
      <c r="BB992" s="3"/>
      <c r="BC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84"/>
      <c r="AX993" s="85"/>
      <c r="AY993" s="3"/>
      <c r="AZ993" s="3"/>
      <c r="BA993" s="3"/>
      <c r="BB993" s="3"/>
      <c r="BC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84"/>
      <c r="AX994" s="85"/>
      <c r="AY994" s="3"/>
      <c r="AZ994" s="3"/>
      <c r="BA994" s="3"/>
      <c r="BB994" s="3"/>
      <c r="BC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84"/>
      <c r="AX995" s="85"/>
      <c r="AY995" s="3"/>
      <c r="AZ995" s="3"/>
      <c r="BA995" s="3"/>
      <c r="BB995" s="3"/>
      <c r="BC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84"/>
      <c r="AX996" s="85"/>
      <c r="AY996" s="3"/>
      <c r="AZ996" s="3"/>
      <c r="BA996" s="3"/>
      <c r="BB996" s="3"/>
      <c r="BC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84"/>
      <c r="AX997" s="85"/>
      <c r="AY997" s="3"/>
      <c r="AZ997" s="3"/>
      <c r="BA997" s="3"/>
      <c r="BB997" s="3"/>
      <c r="BC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84"/>
      <c r="AX998" s="85"/>
      <c r="AY998" s="3"/>
      <c r="AZ998" s="3"/>
      <c r="BA998" s="3"/>
      <c r="BB998" s="3"/>
      <c r="BC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84"/>
      <c r="AX999" s="85"/>
      <c r="AY999" s="3"/>
      <c r="AZ999" s="3"/>
      <c r="BA999" s="3"/>
      <c r="BB999" s="3"/>
      <c r="BC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84"/>
      <c r="AX1000" s="85"/>
      <c r="AY1000" s="3"/>
      <c r="AZ1000" s="3"/>
      <c r="BA1000" s="3"/>
      <c r="BB1000" s="3"/>
      <c r="BC1000" s="3"/>
    </row>
  </sheetData>
  <mergeCells count="32">
    <mergeCell ref="AW2:AW3"/>
    <mergeCell ref="AX2:AX3"/>
    <mergeCell ref="BA2:BA3"/>
    <mergeCell ref="BC2:BC3"/>
    <mergeCell ref="A2:A3"/>
    <mergeCell ref="B2:B3"/>
    <mergeCell ref="D2:G2"/>
    <mergeCell ref="AR2:AR3"/>
    <mergeCell ref="AS2:AS3"/>
    <mergeCell ref="AT2:AT3"/>
    <mergeCell ref="AU2:AU3"/>
    <mergeCell ref="B28:C28"/>
    <mergeCell ref="B29:C29"/>
    <mergeCell ref="B30:C30"/>
    <mergeCell ref="B31:C31"/>
    <mergeCell ref="B32:C32"/>
    <mergeCell ref="B33:C33"/>
    <mergeCell ref="A35:AU35"/>
    <mergeCell ref="K37:V39"/>
    <mergeCell ref="K40:V41"/>
    <mergeCell ref="AL37:AU39"/>
    <mergeCell ref="AL40:AU41"/>
    <mergeCell ref="A41:I41"/>
    <mergeCell ref="A42:AU42"/>
    <mergeCell ref="A43:AU43"/>
    <mergeCell ref="A37:I38"/>
    <mergeCell ref="J37:J41"/>
    <mergeCell ref="W37:W41"/>
    <mergeCell ref="X37:AJ39"/>
    <mergeCell ref="B39:C39"/>
    <mergeCell ref="B40:C40"/>
    <mergeCell ref="X40:AJ41"/>
  </mergeCells>
  <conditionalFormatting sqref="AW1:AW10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1:AX2 AX4:AX1000">
    <cfRule type="containsText" dxfId="0" priority="2" operator="containsText" text="&quot;NORMAL&quot;">
      <formula>NOT(ISERROR(SEARCH(("""NORMAL"""),(AX1))))</formula>
    </cfRule>
  </conditionalFormatting>
  <conditionalFormatting sqref="AX1:AX2 AX4:AX1000">
    <cfRule type="containsText" dxfId="1" priority="3" operator="containsText" text="&quot;ESTOURADO&quot;">
      <formula>NOT(ISERROR(SEARCH(("""ESTOURADO"""),(AX1))))</formula>
    </cfRule>
  </conditionalFormatting>
  <printOptions/>
  <pageMargins bottom="0.75" footer="0.0" header="0.0" left="0.7" right="0.7" top="0.75"/>
  <pageSetup orientation="landscape"/>
  <drawing r:id="rId1"/>
</worksheet>
</file>